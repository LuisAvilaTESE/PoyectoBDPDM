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-120" yWindow="-15" windowWidth="6195" windowHeight="5760" tabRatio="749"/>
  </bookViews>
  <sheets>
    <sheet name="Home" sheetId="99" r:id="rId1"/>
    <sheet name="DataBase Empleados" sheetId="97" state="hidden" r:id="rId2"/>
    <sheet name="ChequearRecord" sheetId="96" r:id="rId3"/>
    <sheet name="Insertar Record Empleado" sheetId="98" state="hidden" r:id="rId4"/>
    <sheet name="Fotos" sheetId="95" r:id="rId5"/>
  </sheets>
  <definedNames>
    <definedName name="_xlnm.Print_Area" localSheetId="2">ChequearRecord!$A$1:$G$24</definedName>
    <definedName name="EmpDB">ChequearRecord!$J$2:$K$11</definedName>
    <definedName name="EmpID">ChequearRecord!$J$2:$J$5</definedName>
    <definedName name="EmployeeDataBase">'DataBase Empleados'!$A$5:$N$8</definedName>
    <definedName name="IMAGE">INDIRECT("Fotos!$A$"&amp;VLOOKUP(ChequearRecord!$C$3,ChequearRecord!$K$2:$L$11,2,0))</definedName>
    <definedName name="ListPics">OFFSET(ChequearRecord!$K$2,0,0,COUNTA(ChequearRecord!$K:$K),1)</definedName>
  </definedNames>
  <calcPr calcId="145621" iterateCount="200"/>
</workbook>
</file>

<file path=xl/calcChain.xml><?xml version="1.0" encoding="utf-8"?>
<calcChain xmlns="http://schemas.openxmlformats.org/spreadsheetml/2006/main">
  <c r="D9" i="98" l="1"/>
  <c r="C3" i="96"/>
  <c r="C17" i="96" s="1"/>
  <c r="F29" i="99"/>
  <c r="F30" i="99"/>
  <c r="C18" i="96" l="1"/>
  <c r="C6" i="96"/>
  <c r="C22" i="96"/>
  <c r="C21" i="96" l="1"/>
  <c r="C19" i="96"/>
  <c r="C15" i="96"/>
  <c r="C13" i="96"/>
  <c r="C12" i="96"/>
  <c r="C11" i="96"/>
  <c r="C10" i="96"/>
  <c r="C9" i="96"/>
  <c r="D9" i="96" s="1" a="1"/>
  <c r="D9" i="96" s="1"/>
  <c r="C7" i="96"/>
</calcChain>
</file>

<file path=xl/comments1.xml><?xml version="1.0" encoding="utf-8"?>
<comments xmlns="http://schemas.openxmlformats.org/spreadsheetml/2006/main">
  <authors>
    <author>julio</author>
  </authors>
  <commentList>
    <comment ref="C3" authorId="0">
      <text>
        <r>
          <rPr>
            <b/>
            <sz val="8"/>
            <color indexed="10"/>
            <rFont val="Tahoma"/>
            <family val="2"/>
          </rPr>
          <t>No. ID generado automáticamente.</t>
        </r>
      </text>
    </comment>
  </commentList>
</comments>
</file>

<file path=xl/sharedStrings.xml><?xml version="1.0" encoding="utf-8"?>
<sst xmlns="http://schemas.openxmlformats.org/spreadsheetml/2006/main" count="94" uniqueCount="64">
  <si>
    <t>(Picture)</t>
  </si>
  <si>
    <t>Dominican Republic</t>
  </si>
  <si>
    <t>Taylor</t>
  </si>
  <si>
    <t>ID No.</t>
  </si>
  <si>
    <t>Email</t>
  </si>
  <si>
    <t>julio1459@gmail.com</t>
  </si>
  <si>
    <t>347 287-2245</t>
  </si>
  <si>
    <t>401 Ellwood  Ave</t>
  </si>
  <si>
    <t>Elizabeth Rosemond</t>
  </si>
  <si>
    <t>Londres, England</t>
  </si>
  <si>
    <t>Los Angeles</t>
  </si>
  <si>
    <t>California</t>
  </si>
  <si>
    <t>Wadowice, Poland</t>
  </si>
  <si>
    <t>Vatican City</t>
  </si>
  <si>
    <t>Rome</t>
  </si>
  <si>
    <t>Karol Józef (Juan Pablo II)</t>
  </si>
  <si>
    <t>Insertar Record Empleado</t>
  </si>
  <si>
    <t xml:space="preserve">Empleado No. </t>
  </si>
  <si>
    <t>Información Personal</t>
  </si>
  <si>
    <t>Primer Nombre</t>
  </si>
  <si>
    <t>Segundo Nombre</t>
  </si>
  <si>
    <t>Fecha Nacimiento</t>
  </si>
  <si>
    <t>Lugar Nacimiento</t>
  </si>
  <si>
    <t>Cédula Identificación</t>
  </si>
  <si>
    <t>Sexo</t>
  </si>
  <si>
    <t>Dirección 1</t>
  </si>
  <si>
    <t>Dirección 2</t>
  </si>
  <si>
    <t>Ciudad</t>
  </si>
  <si>
    <t>Estado</t>
  </si>
  <si>
    <t>Código Area</t>
  </si>
  <si>
    <t>Teléfono</t>
  </si>
  <si>
    <t>Chequear Record Empleado</t>
  </si>
  <si>
    <t>Informacion Personal</t>
  </si>
  <si>
    <t>Edad</t>
  </si>
  <si>
    <t>Nombre</t>
  </si>
  <si>
    <t>Apellido</t>
  </si>
  <si>
    <t>Fecha Nac.</t>
  </si>
  <si>
    <t>Lugar Nacim.</t>
  </si>
  <si>
    <t>Cédula</t>
  </si>
  <si>
    <t>Estado Civil</t>
  </si>
  <si>
    <t>Dirección</t>
  </si>
  <si>
    <t>Código</t>
  </si>
  <si>
    <t>DataBase Empleados</t>
  </si>
  <si>
    <t xml:space="preserve"> ID No.</t>
  </si>
  <si>
    <t>Nombre Empleado</t>
  </si>
  <si>
    <t>ID 1</t>
  </si>
  <si>
    <t>ID 2</t>
  </si>
  <si>
    <t>Elizabeth R. Taylor</t>
  </si>
  <si>
    <t>Karol Jósef (Juan Pablo II)</t>
  </si>
  <si>
    <t>Wojtyla</t>
  </si>
  <si>
    <t>Julio César</t>
  </si>
  <si>
    <t>Peña</t>
  </si>
  <si>
    <t>Casado</t>
  </si>
  <si>
    <t>Otro</t>
  </si>
  <si>
    <t>Masculino</t>
  </si>
  <si>
    <t>Femenino</t>
  </si>
  <si>
    <t>New York</t>
  </si>
  <si>
    <t>Bronx</t>
  </si>
  <si>
    <t>GUSTAVO</t>
  </si>
  <si>
    <t>ADOLFO</t>
  </si>
  <si>
    <t>TRUJILLO</t>
  </si>
  <si>
    <t>Soltero</t>
  </si>
  <si>
    <t>BERNARDO OHIGGINS 1252</t>
  </si>
  <si>
    <t>G_SEBASTIANI@HOTMAIL.COM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</si>
</sst>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409]mmmm\ d\,\ yyyy;@"/>
    <numFmt numFmtId="165" formatCode="###\-##\-####"/>
    <numFmt numFmtId="166" formatCode="###\ ###\-####"/>
    <numFmt numFmtId="167" formatCode="0##\-##\-####"/>
    <numFmt numFmtId="168" formatCode="[$-409]h:mm\ AM/PM;@"/>
    <numFmt numFmtId="169" formatCode="mm/dd/yyyy"/>
  </numFmts>
  <fonts count="21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i/>
      <sz val="10"/>
      <name val="Arial"/>
      <family val="2"/>
    </font>
    <font>
      <u/>
      <sz val="10"/>
      <color indexed="12"/>
      <name val="Arial"/>
      <family val="2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name val="Arial"/>
      <family val="2"/>
    </font>
    <font>
      <b/>
      <sz val="22"/>
      <color theme="3"/>
      <name val="Calibri"/>
      <family val="2"/>
      <scheme val="minor"/>
    </font>
    <font>
      <b/>
      <sz val="24"/>
      <color theme="3"/>
      <name val="Calibri"/>
      <family val="2"/>
      <scheme val="minor"/>
    </font>
    <font>
      <b/>
      <sz val="12"/>
      <color rgb="FFFFFF00"/>
      <name val="Arial"/>
      <family val="2"/>
    </font>
    <font>
      <b/>
      <sz val="12"/>
      <color theme="0"/>
      <name val="Calibri"/>
      <family val="2"/>
      <scheme val="minor"/>
    </font>
    <font>
      <b/>
      <sz val="10"/>
      <color rgb="FFFFFF00"/>
      <name val="Arial"/>
      <family val="2"/>
    </font>
    <font>
      <b/>
      <sz val="16"/>
      <name val="Arial"/>
      <family val="2"/>
    </font>
    <font>
      <b/>
      <sz val="10"/>
      <color theme="4" tint="-0.249977111117893"/>
      <name val="Arial"/>
      <family val="2"/>
    </font>
    <font>
      <b/>
      <sz val="8"/>
      <color indexed="10"/>
      <name val="Tahoma"/>
      <family val="2"/>
    </font>
    <font>
      <sz val="10"/>
      <color theme="1"/>
      <name val="Arial"/>
      <family val="2"/>
    </font>
    <font>
      <b/>
      <sz val="10"/>
      <color rgb="FF00206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FF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 style="thin">
        <color indexed="64"/>
      </right>
      <top style="thin">
        <color indexed="64"/>
      </top>
      <bottom style="hair">
        <color theme="1" tint="0.499984740745262"/>
      </bottom>
      <diagonal/>
    </border>
    <border>
      <left/>
      <right/>
      <top style="thin">
        <color indexed="64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/>
      <right style="thin">
        <color indexed="64"/>
      </right>
      <top/>
      <bottom style="hair">
        <color theme="1" tint="0.499984740745262"/>
      </bottom>
      <diagonal/>
    </border>
    <border>
      <left/>
      <right style="thin">
        <color indexed="64"/>
      </right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 style="thick">
        <color theme="5" tint="-0.24994659260841701"/>
      </left>
      <right/>
      <top style="thick">
        <color theme="5" tint="-0.24994659260841701"/>
      </top>
      <bottom/>
      <diagonal/>
    </border>
    <border>
      <left/>
      <right/>
      <top style="thick">
        <color theme="5" tint="-0.24994659260841701"/>
      </top>
      <bottom/>
      <diagonal/>
    </border>
    <border>
      <left style="thick">
        <color theme="5" tint="-0.24994659260841701"/>
      </left>
      <right/>
      <top/>
      <bottom/>
      <diagonal/>
    </border>
    <border>
      <left style="thick">
        <color theme="5" tint="-0.24994659260841701"/>
      </left>
      <right/>
      <top/>
      <bottom style="thick">
        <color theme="5" tint="-0.24994659260841701"/>
      </bottom>
      <diagonal/>
    </border>
    <border>
      <left/>
      <right/>
      <top/>
      <bottom style="thick">
        <color theme="5" tint="-0.2499465926084170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theme="0"/>
      </right>
      <top/>
      <bottom/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</borders>
  <cellStyleXfs count="4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8" fillId="0" borderId="12" applyNumberFormat="0" applyFill="0" applyAlignment="0" applyProtection="0"/>
    <xf numFmtId="0" fontId="9" fillId="0" borderId="13" applyNumberFormat="0" applyFill="0" applyAlignment="0" applyProtection="0"/>
  </cellStyleXfs>
  <cellXfs count="141">
    <xf numFmtId="0" fontId="0" fillId="0" borderId="0" xfId="0"/>
    <xf numFmtId="0" fontId="2" fillId="4" borderId="7" xfId="0" applyFont="1" applyFill="1" applyBorder="1"/>
    <xf numFmtId="0" fontId="0" fillId="0" borderId="0" xfId="0" applyAlignment="1">
      <alignment horizontal="center"/>
    </xf>
    <xf numFmtId="0" fontId="0" fillId="5" borderId="0" xfId="0" applyFill="1"/>
    <xf numFmtId="0" fontId="2" fillId="5" borderId="0" xfId="0" applyFont="1" applyFill="1"/>
    <xf numFmtId="0" fontId="11" fillId="0" borderId="12" xfId="2" applyFont="1"/>
    <xf numFmtId="0" fontId="12" fillId="0" borderId="12" xfId="2" applyFont="1"/>
    <xf numFmtId="0" fontId="0" fillId="0" borderId="0" xfId="0" applyAlignment="1">
      <alignment horizontal="left"/>
    </xf>
    <xf numFmtId="0" fontId="0" fillId="0" borderId="0" xfId="0" applyAlignment="1">
      <alignment vertical="center"/>
    </xf>
    <xf numFmtId="166" fontId="0" fillId="0" borderId="0" xfId="0" applyNumberFormat="1"/>
    <xf numFmtId="165" fontId="0" fillId="0" borderId="0" xfId="0" applyNumberFormat="1" applyAlignment="1">
      <alignment horizontal="left"/>
    </xf>
    <xf numFmtId="166" fontId="0" fillId="0" borderId="0" xfId="0" applyNumberFormat="1" applyAlignment="1">
      <alignment horizontal="left"/>
    </xf>
    <xf numFmtId="0" fontId="4" fillId="10" borderId="0" xfId="0" applyFont="1" applyFill="1" applyAlignment="1">
      <alignment horizontal="center" vertical="center"/>
    </xf>
    <xf numFmtId="0" fontId="14" fillId="0" borderId="13" xfId="3" applyFont="1" applyAlignment="1">
      <alignment horizontal="center"/>
    </xf>
    <xf numFmtId="165" fontId="14" fillId="0" borderId="13" xfId="3" applyNumberFormat="1" applyFont="1" applyAlignment="1">
      <alignment horizontal="center"/>
    </xf>
    <xf numFmtId="166" fontId="14" fillId="0" borderId="13" xfId="3" applyNumberFormat="1" applyFont="1" applyAlignment="1">
      <alignment horizontal="center"/>
    </xf>
    <xf numFmtId="0" fontId="0" fillId="11" borderId="0" xfId="0" applyFill="1" applyBorder="1"/>
    <xf numFmtId="0" fontId="3" fillId="11" borderId="0" xfId="0" applyFont="1" applyFill="1" applyBorder="1" applyAlignment="1">
      <alignment horizontal="center"/>
    </xf>
    <xf numFmtId="0" fontId="0" fillId="11" borderId="3" xfId="0" applyFill="1" applyBorder="1"/>
    <xf numFmtId="0" fontId="0" fillId="11" borderId="3" xfId="0" applyFill="1" applyBorder="1" applyAlignment="1">
      <alignment horizontal="center"/>
    </xf>
    <xf numFmtId="0" fontId="0" fillId="11" borderId="0" xfId="0" applyFill="1" applyAlignment="1">
      <alignment horizontal="left"/>
    </xf>
    <xf numFmtId="0" fontId="0" fillId="11" borderId="3" xfId="0" applyFill="1" applyBorder="1" applyAlignment="1">
      <alignment horizontal="left"/>
    </xf>
    <xf numFmtId="0" fontId="1" fillId="11" borderId="0" xfId="0" applyFont="1" applyFill="1" applyAlignment="1">
      <alignment horizontal="left"/>
    </xf>
    <xf numFmtId="0" fontId="1" fillId="11" borderId="3" xfId="0" applyFont="1" applyFill="1" applyBorder="1" applyAlignment="1">
      <alignment horizontal="left"/>
    </xf>
    <xf numFmtId="0" fontId="0" fillId="11" borderId="16" xfId="0" applyFill="1" applyBorder="1" applyAlignment="1">
      <alignment horizontal="left"/>
    </xf>
    <xf numFmtId="0" fontId="0" fillId="11" borderId="5" xfId="0" applyFill="1" applyBorder="1"/>
    <xf numFmtId="0" fontId="0" fillId="11" borderId="6" xfId="0" applyFill="1" applyBorder="1"/>
    <xf numFmtId="166" fontId="0" fillId="11" borderId="5" xfId="0" applyNumberFormat="1" applyFill="1" applyBorder="1" applyAlignment="1">
      <alignment horizontal="left"/>
    </xf>
    <xf numFmtId="0" fontId="10" fillId="5" borderId="0" xfId="0" applyFont="1" applyFill="1" applyAlignment="1">
      <alignment horizontal="center"/>
    </xf>
    <xf numFmtId="0" fontId="4" fillId="12" borderId="0" xfId="0" applyFont="1" applyFill="1" applyBorder="1" applyAlignment="1">
      <alignment horizontal="center" vertical="center"/>
    </xf>
    <xf numFmtId="164" fontId="0" fillId="11" borderId="23" xfId="0" applyNumberFormat="1" applyFill="1" applyBorder="1" applyAlignment="1">
      <alignment horizontal="left"/>
    </xf>
    <xf numFmtId="0" fontId="4" fillId="8" borderId="29" xfId="0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Border="1"/>
    <xf numFmtId="165" fontId="0" fillId="0" borderId="0" xfId="0" applyNumberFormat="1" applyBorder="1" applyAlignment="1">
      <alignment horizontal="left"/>
    </xf>
    <xf numFmtId="0" fontId="0" fillId="0" borderId="0" xfId="0" applyBorder="1" applyAlignment="1">
      <alignment horizontal="left"/>
    </xf>
    <xf numFmtId="166" fontId="0" fillId="0" borderId="0" xfId="0" applyNumberFormat="1" applyBorder="1" applyAlignment="1">
      <alignment horizontal="left"/>
    </xf>
    <xf numFmtId="0" fontId="0" fillId="11" borderId="16" xfId="0" applyNumberFormat="1" applyFill="1" applyBorder="1" applyAlignment="1">
      <alignment horizontal="left"/>
    </xf>
    <xf numFmtId="166" fontId="7" fillId="0" borderId="0" xfId="1" applyNumberFormat="1" applyBorder="1" applyAlignment="1" applyProtection="1"/>
    <xf numFmtId="166" fontId="7" fillId="0" borderId="0" xfId="1" applyNumberFormat="1" applyAlignment="1" applyProtection="1"/>
    <xf numFmtId="164" fontId="15" fillId="6" borderId="0" xfId="0" applyNumberFormat="1" applyFont="1" applyFill="1" applyBorder="1" applyAlignment="1">
      <alignment horizontal="center" vertical="center"/>
    </xf>
    <xf numFmtId="1" fontId="17" fillId="0" borderId="0" xfId="0" applyNumberFormat="1" applyFont="1" applyAlignment="1">
      <alignment horizontal="center" vertical="center"/>
    </xf>
    <xf numFmtId="0" fontId="0" fillId="13" borderId="0" xfId="0" applyFill="1" applyAlignment="1">
      <alignment horizontal="center"/>
    </xf>
    <xf numFmtId="0" fontId="0" fillId="0" borderId="26" xfId="0" applyFill="1" applyBorder="1"/>
    <xf numFmtId="0" fontId="0" fillId="0" borderId="0" xfId="0" applyFill="1" applyBorder="1"/>
    <xf numFmtId="0" fontId="0" fillId="5" borderId="0" xfId="0" applyFill="1" applyProtection="1">
      <protection locked="0"/>
    </xf>
    <xf numFmtId="0" fontId="6" fillId="5" borderId="0" xfId="0" applyFont="1" applyFill="1" applyBorder="1" applyAlignment="1" applyProtection="1">
      <alignment vertical="center"/>
      <protection locked="0"/>
    </xf>
    <xf numFmtId="0" fontId="1" fillId="5" borderId="0" xfId="0" applyFont="1" applyFill="1" applyProtection="1">
      <protection locked="0"/>
    </xf>
    <xf numFmtId="0" fontId="4" fillId="5" borderId="0" xfId="0" applyFont="1" applyFill="1" applyBorder="1" applyProtection="1">
      <protection locked="0"/>
    </xf>
    <xf numFmtId="0" fontId="5" fillId="5" borderId="0" xfId="0" applyFont="1" applyFill="1" applyBorder="1" applyProtection="1">
      <protection locked="0"/>
    </xf>
    <xf numFmtId="0" fontId="3" fillId="5" borderId="0" xfId="0" applyFont="1" applyFill="1" applyAlignment="1" applyProtection="1">
      <alignment horizontal="right" vertical="center"/>
      <protection locked="0"/>
    </xf>
    <xf numFmtId="0" fontId="4" fillId="8" borderId="7" xfId="0" applyFont="1" applyFill="1" applyBorder="1" applyAlignment="1" applyProtection="1">
      <alignment horizontal="center" vertical="center"/>
      <protection locked="0"/>
    </xf>
    <xf numFmtId="0" fontId="2" fillId="5" borderId="0" xfId="0" applyFont="1" applyFill="1" applyProtection="1">
      <protection locked="0"/>
    </xf>
    <xf numFmtId="0" fontId="2" fillId="4" borderId="7" xfId="0" applyFont="1" applyFill="1" applyBorder="1" applyProtection="1">
      <protection locked="0"/>
    </xf>
    <xf numFmtId="0" fontId="6" fillId="5" borderId="5" xfId="0" applyFont="1" applyFill="1" applyBorder="1" applyAlignment="1" applyProtection="1">
      <alignment vertical="center"/>
      <protection locked="0"/>
    </xf>
    <xf numFmtId="0" fontId="3" fillId="9" borderId="1" xfId="0" applyFont="1" applyFill="1" applyBorder="1" applyAlignment="1" applyProtection="1">
      <alignment horizontal="left"/>
      <protection locked="0"/>
    </xf>
    <xf numFmtId="0" fontId="3" fillId="9" borderId="2" xfId="0" applyFont="1" applyFill="1" applyBorder="1" applyAlignment="1" applyProtection="1">
      <alignment horizontal="left"/>
      <protection locked="0"/>
    </xf>
    <xf numFmtId="0" fontId="0" fillId="2" borderId="0" xfId="0" applyFill="1" applyBorder="1" applyProtection="1">
      <protection locked="0"/>
    </xf>
    <xf numFmtId="0" fontId="3" fillId="2" borderId="0" xfId="0" applyFont="1" applyFill="1" applyBorder="1" applyAlignment="1" applyProtection="1">
      <alignment horizontal="center"/>
      <protection locked="0"/>
    </xf>
    <xf numFmtId="0" fontId="0" fillId="2" borderId="3" xfId="0" applyFill="1" applyBorder="1" applyProtection="1">
      <protection locked="0"/>
    </xf>
    <xf numFmtId="0" fontId="0" fillId="2" borderId="3" xfId="0" applyFill="1" applyBorder="1" applyAlignment="1" applyProtection="1">
      <alignment horizontal="center"/>
      <protection locked="0"/>
    </xf>
    <xf numFmtId="165" fontId="0" fillId="2" borderId="16" xfId="0" applyNumberFormat="1" applyFill="1" applyBorder="1" applyAlignment="1" applyProtection="1">
      <alignment horizontal="left"/>
      <protection locked="0"/>
    </xf>
    <xf numFmtId="0" fontId="0" fillId="2" borderId="0" xfId="0" applyFill="1" applyAlignment="1" applyProtection="1">
      <alignment horizontal="left"/>
      <protection locked="0"/>
    </xf>
    <xf numFmtId="0" fontId="0" fillId="2" borderId="3" xfId="0" applyFill="1" applyBorder="1" applyAlignment="1" applyProtection="1">
      <alignment horizontal="left"/>
      <protection locked="0"/>
    </xf>
    <xf numFmtId="0" fontId="1" fillId="2" borderId="0" xfId="0" applyFont="1" applyFill="1" applyAlignment="1" applyProtection="1">
      <alignment horizontal="left"/>
      <protection locked="0"/>
    </xf>
    <xf numFmtId="0" fontId="1" fillId="2" borderId="3" xfId="0" applyFont="1" applyFill="1" applyBorder="1" applyAlignment="1" applyProtection="1">
      <alignment horizontal="left"/>
      <protection locked="0"/>
    </xf>
    <xf numFmtId="0" fontId="0" fillId="2" borderId="16" xfId="0" applyFill="1" applyBorder="1" applyAlignment="1" applyProtection="1">
      <alignment horizontal="left"/>
      <protection locked="0"/>
    </xf>
    <xf numFmtId="0" fontId="3" fillId="9" borderId="4" xfId="0" applyFont="1" applyFill="1" applyBorder="1" applyAlignment="1" applyProtection="1">
      <alignment horizontal="left"/>
      <protection locked="0"/>
    </xf>
    <xf numFmtId="0" fontId="0" fillId="2" borderId="5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4" fillId="0" borderId="23" xfId="0" applyFont="1" applyFill="1" applyBorder="1" applyAlignment="1">
      <alignment horizontal="center" vertical="center"/>
    </xf>
    <xf numFmtId="0" fontId="10" fillId="0" borderId="23" xfId="0" applyFont="1" applyFill="1" applyBorder="1" applyAlignment="1">
      <alignment horizontal="center"/>
    </xf>
    <xf numFmtId="0" fontId="10" fillId="5" borderId="0" xfId="0" applyFont="1" applyFill="1" applyAlignment="1">
      <alignment horizontal="right" vertical="center"/>
    </xf>
    <xf numFmtId="0" fontId="0" fillId="14" borderId="0" xfId="0" applyFill="1" applyAlignment="1">
      <alignment horizontal="center"/>
    </xf>
    <xf numFmtId="0" fontId="0" fillId="9" borderId="0" xfId="0" applyFill="1"/>
    <xf numFmtId="0" fontId="0" fillId="15" borderId="0" xfId="0" applyFill="1" applyAlignment="1">
      <alignment horizontal="center"/>
    </xf>
    <xf numFmtId="0" fontId="19" fillId="9" borderId="30" xfId="0" applyFont="1" applyFill="1" applyBorder="1"/>
    <xf numFmtId="0" fontId="19" fillId="14" borderId="30" xfId="0" applyFont="1" applyFill="1" applyBorder="1" applyAlignment="1">
      <alignment horizontal="center"/>
    </xf>
    <xf numFmtId="0" fontId="19" fillId="15" borderId="0" xfId="0" applyFont="1" applyFill="1" applyBorder="1" applyAlignment="1">
      <alignment horizontal="center"/>
    </xf>
    <xf numFmtId="0" fontId="20" fillId="9" borderId="30" xfId="0" applyFont="1" applyFill="1" applyBorder="1" applyAlignment="1">
      <alignment horizontal="center" vertical="center"/>
    </xf>
    <xf numFmtId="0" fontId="20" fillId="14" borderId="30" xfId="0" applyFont="1" applyFill="1" applyBorder="1" applyAlignment="1">
      <alignment horizontal="center" vertical="center"/>
    </xf>
    <xf numFmtId="0" fontId="20" fillId="15" borderId="0" xfId="0" applyFont="1" applyFill="1" applyBorder="1" applyAlignment="1">
      <alignment horizontal="center" vertical="center"/>
    </xf>
    <xf numFmtId="0" fontId="19" fillId="9" borderId="0" xfId="0" applyFont="1" applyFill="1" applyBorder="1"/>
    <xf numFmtId="0" fontId="19" fillId="14" borderId="0" xfId="0" applyFont="1" applyFill="1" applyBorder="1" applyAlignment="1">
      <alignment horizontal="center"/>
    </xf>
    <xf numFmtId="0" fontId="1" fillId="0" borderId="0" xfId="0" applyFont="1" applyBorder="1"/>
    <xf numFmtId="0" fontId="10" fillId="11" borderId="29" xfId="0" applyFont="1" applyFill="1" applyBorder="1" applyAlignment="1">
      <alignment horizontal="center"/>
    </xf>
    <xf numFmtId="0" fontId="10" fillId="10" borderId="1" xfId="0" applyFont="1" applyFill="1" applyBorder="1" applyAlignment="1">
      <alignment horizontal="left"/>
    </xf>
    <xf numFmtId="0" fontId="10" fillId="10" borderId="2" xfId="0" applyFont="1" applyFill="1" applyBorder="1" applyAlignment="1">
      <alignment horizontal="left"/>
    </xf>
    <xf numFmtId="0" fontId="10" fillId="10" borderId="4" xfId="0" applyFont="1" applyFill="1" applyBorder="1" applyAlignment="1">
      <alignment horizontal="left"/>
    </xf>
    <xf numFmtId="0" fontId="13" fillId="7" borderId="20" xfId="0" applyNumberFormat="1" applyFont="1" applyFill="1" applyBorder="1" applyAlignment="1">
      <alignment horizontal="center" vertical="center"/>
    </xf>
    <xf numFmtId="0" fontId="13" fillId="6" borderId="7" xfId="0" applyNumberFormat="1" applyFont="1" applyFill="1" applyBorder="1" applyAlignment="1" applyProtection="1">
      <alignment horizontal="center" vertical="center"/>
      <protection locked="0"/>
    </xf>
    <xf numFmtId="169" fontId="0" fillId="11" borderId="16" xfId="0" applyNumberFormat="1" applyFill="1" applyBorder="1" applyAlignment="1">
      <alignment horizontal="left"/>
    </xf>
    <xf numFmtId="169" fontId="1" fillId="2" borderId="16" xfId="0" applyNumberFormat="1" applyFont="1" applyFill="1" applyBorder="1" applyAlignment="1" applyProtection="1">
      <alignment horizontal="left"/>
      <protection locked="0"/>
    </xf>
    <xf numFmtId="0" fontId="0" fillId="0" borderId="0" xfId="0" applyFill="1" applyProtection="1">
      <protection locked="0"/>
    </xf>
    <xf numFmtId="169" fontId="17" fillId="0" borderId="0" xfId="0" applyNumberFormat="1" applyFont="1" applyAlignment="1">
      <alignment horizontal="center" vertical="center"/>
    </xf>
    <xf numFmtId="169" fontId="0" fillId="0" borderId="0" xfId="0" applyNumberFormat="1" applyAlignment="1">
      <alignment horizontal="right"/>
    </xf>
    <xf numFmtId="169" fontId="14" fillId="0" borderId="13" xfId="3" applyNumberFormat="1" applyFont="1" applyAlignment="1">
      <alignment horizontal="center"/>
    </xf>
    <xf numFmtId="0" fontId="1" fillId="0" borderId="0" xfId="0" applyFont="1"/>
    <xf numFmtId="0" fontId="0" fillId="0" borderId="0" xfId="0" applyFill="1"/>
    <xf numFmtId="0" fontId="0" fillId="16" borderId="0" xfId="0" applyFill="1"/>
    <xf numFmtId="0" fontId="0" fillId="9" borderId="24" xfId="0" applyFill="1" applyBorder="1"/>
    <xf numFmtId="0" fontId="0" fillId="9" borderId="25" xfId="0" applyFill="1" applyBorder="1"/>
    <xf numFmtId="0" fontId="0" fillId="9" borderId="26" xfId="0" applyFill="1" applyBorder="1"/>
    <xf numFmtId="0" fontId="0" fillId="9" borderId="0" xfId="0" applyFill="1" applyBorder="1"/>
    <xf numFmtId="0" fontId="0" fillId="9" borderId="27" xfId="0" applyFill="1" applyBorder="1"/>
    <xf numFmtId="0" fontId="0" fillId="9" borderId="28" xfId="0" applyFill="1" applyBorder="1"/>
    <xf numFmtId="168" fontId="2" fillId="7" borderId="0" xfId="0" applyNumberFormat="1" applyFont="1" applyFill="1" applyAlignment="1">
      <alignment horizontal="center" vertical="center"/>
    </xf>
    <xf numFmtId="166" fontId="0" fillId="2" borderId="31" xfId="0" applyNumberFormat="1" applyFill="1" applyBorder="1" applyAlignment="1" applyProtection="1">
      <alignment horizontal="left"/>
      <protection locked="0"/>
    </xf>
    <xf numFmtId="0" fontId="3" fillId="10" borderId="0" xfId="0" applyFont="1" applyFill="1" applyAlignment="1">
      <alignment horizontal="center" vertical="center"/>
    </xf>
    <xf numFmtId="167" fontId="0" fillId="11" borderId="16" xfId="0" applyNumberFormat="1" applyFill="1" applyBorder="1" applyAlignment="1">
      <alignment horizontal="left"/>
    </xf>
    <xf numFmtId="167" fontId="0" fillId="11" borderId="17" xfId="0" applyNumberFormat="1" applyFill="1" applyBorder="1" applyAlignment="1">
      <alignment horizontal="left"/>
    </xf>
    <xf numFmtId="0" fontId="0" fillId="11" borderId="16" xfId="0" applyFill="1" applyBorder="1" applyAlignment="1">
      <alignment horizontal="left"/>
    </xf>
    <xf numFmtId="0" fontId="0" fillId="11" borderId="17" xfId="0" applyFill="1" applyBorder="1" applyAlignment="1">
      <alignment horizontal="left"/>
    </xf>
    <xf numFmtId="0" fontId="0" fillId="11" borderId="19" xfId="0" applyFill="1" applyBorder="1" applyAlignment="1">
      <alignment horizontal="left"/>
    </xf>
    <xf numFmtId="0" fontId="0" fillId="11" borderId="18" xfId="0" applyFill="1" applyBorder="1" applyAlignment="1">
      <alignment horizontal="left"/>
    </xf>
    <xf numFmtId="0" fontId="4" fillId="3" borderId="8" xfId="0" applyFont="1" applyFill="1" applyBorder="1" applyAlignment="1">
      <alignment horizontal="center" vertical="center"/>
    </xf>
    <xf numFmtId="0" fontId="4" fillId="3" borderId="9" xfId="0" applyFont="1" applyFill="1" applyBorder="1" applyAlignment="1">
      <alignment horizontal="center" vertical="center"/>
    </xf>
    <xf numFmtId="0" fontId="6" fillId="13" borderId="10" xfId="0" applyFont="1" applyFill="1" applyBorder="1" applyAlignment="1">
      <alignment horizontal="center" vertical="center" wrapText="1"/>
    </xf>
    <xf numFmtId="0" fontId="6" fillId="13" borderId="11" xfId="0" applyFont="1" applyFill="1" applyBorder="1" applyAlignment="1">
      <alignment horizontal="center" vertical="center" wrapText="1"/>
    </xf>
    <xf numFmtId="0" fontId="0" fillId="11" borderId="15" xfId="0" applyFill="1" applyBorder="1" applyAlignment="1">
      <alignment horizontal="left"/>
    </xf>
    <xf numFmtId="0" fontId="0" fillId="11" borderId="14" xfId="0" applyFill="1" applyBorder="1" applyAlignment="1">
      <alignment horizontal="left"/>
    </xf>
    <xf numFmtId="0" fontId="0" fillId="11" borderId="16" xfId="0" applyNumberFormat="1" applyFill="1" applyBorder="1" applyAlignment="1">
      <alignment horizontal="left"/>
    </xf>
    <xf numFmtId="0" fontId="0" fillId="11" borderId="16" xfId="0" applyNumberFormat="1" applyFill="1" applyBorder="1"/>
    <xf numFmtId="0" fontId="0" fillId="11" borderId="17" xfId="0" applyNumberFormat="1" applyFill="1" applyBorder="1"/>
    <xf numFmtId="0" fontId="0" fillId="2" borderId="19" xfId="0" applyFill="1" applyBorder="1" applyAlignment="1" applyProtection="1">
      <alignment horizontal="left"/>
      <protection locked="0"/>
    </xf>
    <xf numFmtId="0" fontId="0" fillId="2" borderId="18" xfId="0" applyFill="1" applyBorder="1" applyAlignment="1" applyProtection="1">
      <alignment horizontal="left"/>
      <protection locked="0"/>
    </xf>
    <xf numFmtId="0" fontId="1" fillId="2" borderId="16" xfId="0" applyFont="1" applyFill="1" applyBorder="1" applyAlignment="1" applyProtection="1">
      <alignment horizontal="left"/>
      <protection locked="0"/>
    </xf>
    <xf numFmtId="0" fontId="0" fillId="2" borderId="16" xfId="0" applyFill="1" applyBorder="1" applyAlignment="1" applyProtection="1">
      <alignment horizontal="left"/>
      <protection locked="0"/>
    </xf>
    <xf numFmtId="0" fontId="0" fillId="2" borderId="17" xfId="0" applyFill="1" applyBorder="1" applyAlignment="1" applyProtection="1">
      <alignment horizontal="left"/>
      <protection locked="0"/>
    </xf>
    <xf numFmtId="0" fontId="1" fillId="2" borderId="21" xfId="0" applyFont="1" applyFill="1" applyBorder="1" applyAlignment="1" applyProtection="1">
      <alignment horizontal="left"/>
      <protection locked="0"/>
    </xf>
    <xf numFmtId="0" fontId="0" fillId="2" borderId="21" xfId="0" applyFill="1" applyBorder="1" applyAlignment="1" applyProtection="1">
      <alignment horizontal="left"/>
      <protection locked="0"/>
    </xf>
    <xf numFmtId="0" fontId="0" fillId="2" borderId="22" xfId="0" applyFill="1" applyBorder="1" applyAlignment="1" applyProtection="1">
      <alignment horizontal="left"/>
      <protection locked="0"/>
    </xf>
    <xf numFmtId="164" fontId="1" fillId="2" borderId="16" xfId="0" applyNumberFormat="1" applyFont="1" applyFill="1" applyBorder="1" applyAlignment="1" applyProtection="1">
      <alignment horizontal="left"/>
      <protection locked="0"/>
    </xf>
    <xf numFmtId="0" fontId="0" fillId="2" borderId="16" xfId="0" applyFill="1" applyBorder="1" applyProtection="1">
      <protection locked="0"/>
    </xf>
    <xf numFmtId="0" fontId="0" fillId="2" borderId="17" xfId="0" applyFill="1" applyBorder="1" applyProtection="1">
      <protection locked="0"/>
    </xf>
    <xf numFmtId="0" fontId="16" fillId="3" borderId="8" xfId="0" applyFont="1" applyFill="1" applyBorder="1" applyAlignment="1" applyProtection="1">
      <alignment horizontal="center" vertical="center"/>
      <protection locked="0"/>
    </xf>
    <xf numFmtId="0" fontId="16" fillId="3" borderId="9" xfId="0" applyFont="1" applyFill="1" applyBorder="1" applyAlignment="1" applyProtection="1">
      <alignment horizontal="center" vertical="center"/>
      <protection locked="0"/>
    </xf>
    <xf numFmtId="0" fontId="0" fillId="2" borderId="16" xfId="0" applyNumberFormat="1" applyFill="1" applyBorder="1" applyAlignment="1" applyProtection="1">
      <alignment horizontal="left"/>
      <protection locked="0"/>
    </xf>
    <xf numFmtId="0" fontId="0" fillId="2" borderId="17" xfId="0" applyNumberFormat="1" applyFill="1" applyBorder="1" applyAlignment="1" applyProtection="1">
      <alignment horizontal="left"/>
      <protection locked="0"/>
    </xf>
    <xf numFmtId="0" fontId="1" fillId="2" borderId="19" xfId="0" applyFont="1" applyFill="1" applyBorder="1" applyAlignment="1" applyProtection="1">
      <alignment horizontal="left"/>
      <protection locked="0"/>
    </xf>
    <xf numFmtId="0" fontId="7" fillId="2" borderId="16" xfId="1" applyFill="1" applyBorder="1" applyAlignment="1" applyProtection="1">
      <alignment horizontal="left"/>
      <protection locked="0"/>
    </xf>
  </cellXfs>
  <cellStyles count="4">
    <cellStyle name="Hipervínculo" xfId="1" builtinId="8"/>
    <cellStyle name="Normal" xfId="0" builtinId="0"/>
    <cellStyle name="Título 1" xfId="2" builtinId="16"/>
    <cellStyle name="Título 2" xfId="3" builtinId="17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8" tint="0.79998168889431442"/>
        </patternFill>
      </fill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6" tint="0.79998168889431442"/>
        </patternFill>
      </fill>
    </dxf>
    <dxf>
      <numFmt numFmtId="166" formatCode="###\ ###\-####"/>
      <alignment horizontal="left" vertical="bottom" textRotation="0" wrapText="0" relativeIndent="0" justifyLastLine="0" shrinkToFit="0" readingOrder="0"/>
    </dxf>
    <dxf>
      <numFmt numFmtId="166" formatCode="###\ ###\-####"/>
    </dxf>
    <dxf>
      <alignment horizontal="left" vertical="bottom" textRotation="0" wrapText="0" relativeIndent="0" justifyLastLine="0" shrinkToFit="0" readingOrder="0"/>
    </dxf>
    <dxf>
      <numFmt numFmtId="165" formatCode="###\-##\-####"/>
      <alignment horizontal="left" vertical="bottom" textRotation="0" wrapText="0" relativeIndent="0" justifyLastLine="0" shrinkToFit="0" readingOrder="0"/>
    </dxf>
    <dxf>
      <numFmt numFmtId="169" formatCode="mm/dd/yyyy"/>
      <alignment horizontal="right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border outline="0">
        <bottom style="thick">
          <color theme="4" tint="0.499984740745262"/>
        </bottom>
      </border>
    </dxf>
    <dxf>
      <alignment horizontal="center" vertical="bottom" textRotation="0" wrapText="0" relativeIndent="0" justifyLastLine="0" shrinkToFit="0" readingOrder="0"/>
    </dxf>
  </dxfs>
  <tableStyles count="0" defaultTableStyle="TableStyleMedium9" defaultPivotStyle="PivotStyleLight16"/>
  <colors>
    <mruColors>
      <color rgb="FFFFFF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wmf"/><Relationship Id="rId4" Type="http://schemas.openxmlformats.org/officeDocument/2006/relationships/image" Target="../media/image4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jpeg"/><Relationship Id="rId2" Type="http://schemas.openxmlformats.org/officeDocument/2006/relationships/image" Target="../media/image8.jpeg"/><Relationship Id="rId1" Type="http://schemas.openxmlformats.org/officeDocument/2006/relationships/image" Target="../media/image7.jpeg"/><Relationship Id="rId4" Type="http://schemas.openxmlformats.org/officeDocument/2006/relationships/image" Target="../media/image10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12</xdr:row>
      <xdr:rowOff>57150</xdr:rowOff>
    </xdr:from>
    <xdr:to>
      <xdr:col>3</xdr:col>
      <xdr:colOff>590549</xdr:colOff>
      <xdr:row>13</xdr:row>
      <xdr:rowOff>161925</xdr:rowOff>
    </xdr:to>
    <xdr:sp macro="[0]!InsertRecord" textlink="">
      <xdr:nvSpPr>
        <xdr:cNvPr id="2" name="Round Same Side Corner Rectangle 1"/>
        <xdr:cNvSpPr/>
      </xdr:nvSpPr>
      <xdr:spPr>
        <a:xfrm>
          <a:off x="828675" y="2228850"/>
          <a:ext cx="1181099" cy="285750"/>
        </a:xfrm>
        <a:prstGeom prst="round2Same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050" b="1">
              <a:solidFill>
                <a:srgbClr val="FFFF00"/>
              </a:solidFill>
            </a:rPr>
            <a:t>Insertar Record</a:t>
          </a:r>
        </a:p>
      </xdr:txBody>
    </xdr:sp>
    <xdr:clientData/>
  </xdr:twoCellAnchor>
  <xdr:twoCellAnchor>
    <xdr:from>
      <xdr:col>6</xdr:col>
      <xdr:colOff>123826</xdr:colOff>
      <xdr:row>12</xdr:row>
      <xdr:rowOff>57150</xdr:rowOff>
    </xdr:from>
    <xdr:to>
      <xdr:col>8</xdr:col>
      <xdr:colOff>219075</xdr:colOff>
      <xdr:row>13</xdr:row>
      <xdr:rowOff>161925</xdr:rowOff>
    </xdr:to>
    <xdr:sp macro="[0]!CheckRecd" textlink="">
      <xdr:nvSpPr>
        <xdr:cNvPr id="3" name="Round Same Side Corner Rectangle 2"/>
        <xdr:cNvSpPr/>
      </xdr:nvSpPr>
      <xdr:spPr>
        <a:xfrm>
          <a:off x="3895726" y="2228850"/>
          <a:ext cx="1314449" cy="285750"/>
        </a:xfrm>
        <a:prstGeom prst="round2Same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050" b="1">
              <a:solidFill>
                <a:srgbClr val="FFFF00"/>
              </a:solidFill>
            </a:rPr>
            <a:t>Chequear Record</a:t>
          </a:r>
        </a:p>
      </xdr:txBody>
    </xdr:sp>
    <xdr:clientData/>
  </xdr:twoCellAnchor>
  <xdr:twoCellAnchor>
    <xdr:from>
      <xdr:col>1</xdr:col>
      <xdr:colOff>571500</xdr:colOff>
      <xdr:row>20</xdr:row>
      <xdr:rowOff>85725</xdr:rowOff>
    </xdr:from>
    <xdr:to>
      <xdr:col>3</xdr:col>
      <xdr:colOff>571499</xdr:colOff>
      <xdr:row>22</xdr:row>
      <xdr:rowOff>9525</xdr:rowOff>
    </xdr:to>
    <xdr:sp macro="[0]!Module2.EmployeeDatabase" textlink="">
      <xdr:nvSpPr>
        <xdr:cNvPr id="4" name="Round Same Side Corner Rectangle 3"/>
        <xdr:cNvSpPr/>
      </xdr:nvSpPr>
      <xdr:spPr>
        <a:xfrm>
          <a:off x="771525" y="3705225"/>
          <a:ext cx="1219199" cy="285750"/>
        </a:xfrm>
        <a:prstGeom prst="round2Same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050" b="1">
              <a:solidFill>
                <a:srgbClr val="FFFF00"/>
              </a:solidFill>
            </a:rPr>
            <a:t>Empl. Database</a:t>
          </a:r>
        </a:p>
      </xdr:txBody>
    </xdr:sp>
    <xdr:clientData/>
  </xdr:twoCellAnchor>
  <xdr:twoCellAnchor>
    <xdr:from>
      <xdr:col>6</xdr:col>
      <xdr:colOff>161925</xdr:colOff>
      <xdr:row>20</xdr:row>
      <xdr:rowOff>85725</xdr:rowOff>
    </xdr:from>
    <xdr:to>
      <xdr:col>8</xdr:col>
      <xdr:colOff>200025</xdr:colOff>
      <xdr:row>22</xdr:row>
      <xdr:rowOff>9525</xdr:rowOff>
    </xdr:to>
    <xdr:sp macro="[0]!EmployeePictures" textlink="">
      <xdr:nvSpPr>
        <xdr:cNvPr id="7" name="Round Same Side Corner Rectangle 6"/>
        <xdr:cNvSpPr/>
      </xdr:nvSpPr>
      <xdr:spPr>
        <a:xfrm>
          <a:off x="3933825" y="3705225"/>
          <a:ext cx="1257300" cy="285750"/>
        </a:xfrm>
        <a:prstGeom prst="round2Same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050" b="1">
              <a:solidFill>
                <a:srgbClr val="FFFF00"/>
              </a:solidFill>
            </a:rPr>
            <a:t>Fotos</a:t>
          </a:r>
          <a:r>
            <a:rPr lang="en-US" sz="1050" b="1" baseline="0">
              <a:solidFill>
                <a:srgbClr val="FFFF00"/>
              </a:solidFill>
            </a:rPr>
            <a:t> </a:t>
          </a:r>
          <a:r>
            <a:rPr lang="en-US" sz="1050" b="1">
              <a:solidFill>
                <a:srgbClr val="FFFF00"/>
              </a:solidFill>
            </a:rPr>
            <a:t>Empleados </a:t>
          </a:r>
        </a:p>
      </xdr:txBody>
    </xdr:sp>
    <xdr:clientData/>
  </xdr:twoCellAnchor>
  <xdr:twoCellAnchor editAs="oneCell">
    <xdr:from>
      <xdr:col>6</xdr:col>
      <xdr:colOff>295274</xdr:colOff>
      <xdr:row>15</xdr:row>
      <xdr:rowOff>98576</xdr:rowOff>
    </xdr:from>
    <xdr:to>
      <xdr:col>7</xdr:col>
      <xdr:colOff>600074</xdr:colOff>
      <xdr:row>20</xdr:row>
      <xdr:rowOff>79526</xdr:rowOff>
    </xdr:to>
    <xdr:pic macro="[0]!EmployeePictures">
      <xdr:nvPicPr>
        <xdr:cNvPr id="55307" name="Picture 1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067174" y="2813201"/>
          <a:ext cx="914400" cy="885825"/>
        </a:xfrm>
        <a:prstGeom prst="rect">
          <a:avLst/>
        </a:prstGeom>
        <a:noFill/>
      </xdr:spPr>
    </xdr:pic>
    <xdr:clientData/>
  </xdr:twoCellAnchor>
  <xdr:oneCellAnchor>
    <xdr:from>
      <xdr:col>1</xdr:col>
      <xdr:colOff>483270</xdr:colOff>
      <xdr:row>1</xdr:row>
      <xdr:rowOff>76200</xdr:rowOff>
    </xdr:from>
    <xdr:ext cx="5060279" cy="1028700"/>
    <xdr:sp macro="" textlink="">
      <xdr:nvSpPr>
        <xdr:cNvPr id="20" name="Rectangle 19"/>
        <xdr:cNvSpPr/>
      </xdr:nvSpPr>
      <xdr:spPr>
        <a:xfrm>
          <a:off x="683295" y="257175"/>
          <a:ext cx="5060279" cy="1028700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en-US" sz="40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"</a:t>
          </a:r>
          <a:r>
            <a:rPr lang="en-US" sz="32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Nombre de su Negocio</a:t>
          </a:r>
          <a:r>
            <a:rPr lang="en-US" sz="40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" </a:t>
          </a:r>
          <a:r>
            <a:rPr lang="en-US" sz="2800" b="1" cap="none" spc="50">
              <a:ln w="11430"/>
              <a:solidFill>
                <a:schemeClr val="accent1">
                  <a:lumMod val="75000"/>
                </a:schemeClr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Empleados</a:t>
          </a:r>
        </a:p>
      </xdr:txBody>
    </xdr:sp>
    <xdr:clientData/>
  </xdr:oneCellAnchor>
  <xdr:twoCellAnchor editAs="oneCell">
    <xdr:from>
      <xdr:col>2</xdr:col>
      <xdr:colOff>224031</xdr:colOff>
      <xdr:row>16</xdr:row>
      <xdr:rowOff>94943</xdr:rowOff>
    </xdr:from>
    <xdr:to>
      <xdr:col>3</xdr:col>
      <xdr:colOff>385567</xdr:colOff>
      <xdr:row>20</xdr:row>
      <xdr:rowOff>76200</xdr:rowOff>
    </xdr:to>
    <xdr:pic macro="[0]!Module2.EmployeeDatabase">
      <xdr:nvPicPr>
        <xdr:cNvPr id="522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033656" y="2990543"/>
          <a:ext cx="771136" cy="705157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277988</xdr:colOff>
      <xdr:row>8</xdr:row>
      <xdr:rowOff>95251</xdr:rowOff>
    </xdr:from>
    <xdr:to>
      <xdr:col>3</xdr:col>
      <xdr:colOff>331610</xdr:colOff>
      <xdr:row>12</xdr:row>
      <xdr:rowOff>38101</xdr:rowOff>
    </xdr:to>
    <xdr:pic macro="[0]!InsertRecord">
      <xdr:nvPicPr>
        <xdr:cNvPr id="5222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087613" y="1543051"/>
          <a:ext cx="663222" cy="666750"/>
        </a:xfrm>
        <a:prstGeom prst="rect">
          <a:avLst/>
        </a:prstGeom>
        <a:noFill/>
      </xdr:spPr>
    </xdr:pic>
    <xdr:clientData/>
  </xdr:twoCellAnchor>
  <xdr:twoCellAnchor editAs="oneCell">
    <xdr:from>
      <xdr:col>6</xdr:col>
      <xdr:colOff>425065</xdr:colOff>
      <xdr:row>8</xdr:row>
      <xdr:rowOff>19049</xdr:rowOff>
    </xdr:from>
    <xdr:to>
      <xdr:col>7</xdr:col>
      <xdr:colOff>561974</xdr:colOff>
      <xdr:row>12</xdr:row>
      <xdr:rowOff>37750</xdr:rowOff>
    </xdr:to>
    <xdr:pic macro="[0]!CheckRecd">
      <xdr:nvPicPr>
        <xdr:cNvPr id="52227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4196965" y="1466849"/>
          <a:ext cx="746509" cy="742601"/>
        </a:xfrm>
        <a:prstGeom prst="rect">
          <a:avLst/>
        </a:prstGeom>
        <a:noFill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0</xdr:row>
      <xdr:rowOff>28575</xdr:rowOff>
    </xdr:from>
    <xdr:to>
      <xdr:col>7</xdr:col>
      <xdr:colOff>552450</xdr:colOff>
      <xdr:row>1</xdr:row>
      <xdr:rowOff>304800</xdr:rowOff>
    </xdr:to>
    <xdr:sp macro="[0]!GoHomeFromEmplDatabase" textlink="">
      <xdr:nvSpPr>
        <xdr:cNvPr id="2" name="Left Arrow 1"/>
        <xdr:cNvSpPr/>
      </xdr:nvSpPr>
      <xdr:spPr>
        <a:xfrm>
          <a:off x="6619875" y="28575"/>
          <a:ext cx="1104900" cy="57150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200" b="1"/>
            <a:t>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258365</xdr:colOff>
      <xdr:row>3</xdr:row>
      <xdr:rowOff>400050</xdr:rowOff>
    </xdr:from>
    <xdr:to>
      <xdr:col>8</xdr:col>
      <xdr:colOff>242226</xdr:colOff>
      <xdr:row>6</xdr:row>
      <xdr:rowOff>1</xdr:rowOff>
    </xdr:to>
    <xdr:sp macro="[0]!GoHomeFromCheckRecord" textlink="">
      <xdr:nvSpPr>
        <xdr:cNvPr id="2" name="Left Arrow 1"/>
        <xdr:cNvSpPr/>
      </xdr:nvSpPr>
      <xdr:spPr>
        <a:xfrm>
          <a:off x="6724782" y="1172633"/>
          <a:ext cx="1010444" cy="531285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200" b="1"/>
            <a:t>HOME</a:t>
          </a:r>
        </a:p>
      </xdr:txBody>
    </xdr:sp>
    <xdr:clientData/>
  </xdr:twoCellAnchor>
  <xdr:twoCellAnchor>
    <xdr:from>
      <xdr:col>7</xdr:col>
      <xdr:colOff>310092</xdr:colOff>
      <xdr:row>1</xdr:row>
      <xdr:rowOff>226219</xdr:rowOff>
    </xdr:from>
    <xdr:to>
      <xdr:col>8</xdr:col>
      <xdr:colOff>190500</xdr:colOff>
      <xdr:row>3</xdr:row>
      <xdr:rowOff>0</xdr:rowOff>
    </xdr:to>
    <xdr:sp macro="[0]!ImprimirReporte" textlink="">
      <xdr:nvSpPr>
        <xdr:cNvPr id="3" name="Round Same Side Corner Rectangle 2"/>
        <xdr:cNvSpPr/>
      </xdr:nvSpPr>
      <xdr:spPr>
        <a:xfrm>
          <a:off x="6776509" y="501386"/>
          <a:ext cx="906991" cy="271197"/>
        </a:xfrm>
        <a:prstGeom prst="round2Same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/>
            <a:t>Imprimir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28575</xdr:rowOff>
        </xdr:from>
        <xdr:to>
          <xdr:col>6</xdr:col>
          <xdr:colOff>0</xdr:colOff>
          <xdr:row>4</xdr:row>
          <xdr:rowOff>133350</xdr:rowOff>
        </xdr:to>
        <xdr:pic>
          <xdr:nvPicPr>
            <xdr:cNvPr id="50185" name="Picture 9"/>
            <xdr:cNvPicPr>
              <a:picLocks noChangeAspect="1" noChangeArrowheads="1"/>
              <a:extLst>
                <a:ext uri="{84589F7E-364E-4C9E-8A38-B11213B215E9}">
                  <a14:cameraTool cellRange="IMAGE" spid="_x0000_s5018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876800" y="28575"/>
              <a:ext cx="1352550" cy="14097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152400</xdr:colOff>
      <xdr:row>5</xdr:row>
      <xdr:rowOff>219075</xdr:rowOff>
    </xdr:from>
    <xdr:to>
      <xdr:col>7</xdr:col>
      <xdr:colOff>600075</xdr:colOff>
      <xdr:row>7</xdr:row>
      <xdr:rowOff>0</xdr:rowOff>
    </xdr:to>
    <xdr:sp macro="[0]!SaveInformation" textlink="">
      <xdr:nvSpPr>
        <xdr:cNvPr id="2" name="Snip Diagonal Corner Rectangle 1"/>
        <xdr:cNvSpPr/>
      </xdr:nvSpPr>
      <xdr:spPr>
        <a:xfrm>
          <a:off x="6772275" y="1390650"/>
          <a:ext cx="1057275" cy="276225"/>
        </a:xfrm>
        <a:prstGeom prst="snip2Diag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/>
            <a:t>Salvar Record</a:t>
          </a:r>
        </a:p>
      </xdr:txBody>
    </xdr:sp>
    <xdr:clientData/>
  </xdr:twoCellAnchor>
  <xdr:twoCellAnchor>
    <xdr:from>
      <xdr:col>6</xdr:col>
      <xdr:colOff>104775</xdr:colOff>
      <xdr:row>8</xdr:row>
      <xdr:rowOff>114300</xdr:rowOff>
    </xdr:from>
    <xdr:to>
      <xdr:col>7</xdr:col>
      <xdr:colOff>600075</xdr:colOff>
      <xdr:row>10</xdr:row>
      <xdr:rowOff>133350</xdr:rowOff>
    </xdr:to>
    <xdr:sp macro="[0]!GoHomeFromInsertRecord" textlink="">
      <xdr:nvSpPr>
        <xdr:cNvPr id="3" name="Left Arrow 2"/>
        <xdr:cNvSpPr/>
      </xdr:nvSpPr>
      <xdr:spPr>
        <a:xfrm>
          <a:off x="6724650" y="2028825"/>
          <a:ext cx="1104900" cy="51435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200" b="1"/>
            <a:t>HOME</a:t>
          </a:r>
        </a:p>
      </xdr:txBody>
    </xdr:sp>
    <xdr:clientData/>
  </xdr:twoCellAnchor>
  <xdr:twoCellAnchor>
    <xdr:from>
      <xdr:col>6</xdr:col>
      <xdr:colOff>123825</xdr:colOff>
      <xdr:row>2</xdr:row>
      <xdr:rowOff>114300</xdr:rowOff>
    </xdr:from>
    <xdr:to>
      <xdr:col>7</xdr:col>
      <xdr:colOff>571500</xdr:colOff>
      <xdr:row>3</xdr:row>
      <xdr:rowOff>152400</xdr:rowOff>
    </xdr:to>
    <xdr:sp macro="[0]!NuevoRecord" textlink="">
      <xdr:nvSpPr>
        <xdr:cNvPr id="4" name="Snip Diagonal Corner Rectangle 3"/>
        <xdr:cNvSpPr/>
      </xdr:nvSpPr>
      <xdr:spPr>
        <a:xfrm>
          <a:off x="6743700" y="609600"/>
          <a:ext cx="1057275" cy="285750"/>
        </a:xfrm>
        <a:prstGeom prst="snip2Diag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050" b="1"/>
            <a:t>Nuevo Record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99</xdr:row>
      <xdr:rowOff>57150</xdr:rowOff>
    </xdr:from>
    <xdr:to>
      <xdr:col>0</xdr:col>
      <xdr:colOff>1333211</xdr:colOff>
      <xdr:row>99</xdr:row>
      <xdr:rowOff>1504950</xdr:rowOff>
    </xdr:to>
    <xdr:pic>
      <xdr:nvPicPr>
        <xdr:cNvPr id="34" name="Picture 1" descr="P623001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4775" y="57150"/>
          <a:ext cx="1228436" cy="14478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2</xdr:col>
      <xdr:colOff>380999</xdr:colOff>
      <xdr:row>99</xdr:row>
      <xdr:rowOff>466725</xdr:rowOff>
    </xdr:from>
    <xdr:to>
      <xdr:col>4</xdr:col>
      <xdr:colOff>200024</xdr:colOff>
      <xdr:row>99</xdr:row>
      <xdr:rowOff>981075</xdr:rowOff>
    </xdr:to>
    <xdr:sp macro="[0]!GoHomeFromPictures" textlink="">
      <xdr:nvSpPr>
        <xdr:cNvPr id="44" name="Left Arrow 43"/>
        <xdr:cNvSpPr/>
      </xdr:nvSpPr>
      <xdr:spPr>
        <a:xfrm>
          <a:off x="2486024" y="466725"/>
          <a:ext cx="1038225" cy="514350"/>
        </a:xfrm>
        <a:prstGeom prst="lef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200" b="1"/>
            <a:t>HOME</a:t>
          </a:r>
        </a:p>
      </xdr:txBody>
    </xdr:sp>
    <xdr:clientData/>
  </xdr:twoCellAnchor>
  <xdr:twoCellAnchor editAs="oneCell">
    <xdr:from>
      <xdr:col>0</xdr:col>
      <xdr:colOff>153641</xdr:colOff>
      <xdr:row>100</xdr:row>
      <xdr:rowOff>20292</xdr:rowOff>
    </xdr:from>
    <xdr:to>
      <xdr:col>0</xdr:col>
      <xdr:colOff>1325217</xdr:colOff>
      <xdr:row>100</xdr:row>
      <xdr:rowOff>1514052</xdr:rowOff>
    </xdr:to>
    <xdr:pic>
      <xdr:nvPicPr>
        <xdr:cNvPr id="46" name="Picture 45" descr="Taylor,_Elizabeth.jp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53641" y="1552575"/>
          <a:ext cx="1171576" cy="1493760"/>
        </a:xfrm>
        <a:prstGeom prst="rect">
          <a:avLst/>
        </a:prstGeom>
      </xdr:spPr>
    </xdr:pic>
    <xdr:clientData/>
  </xdr:twoCellAnchor>
  <xdr:twoCellAnchor editAs="oneCell">
    <xdr:from>
      <xdr:col>0</xdr:col>
      <xdr:colOff>132108</xdr:colOff>
      <xdr:row>101</xdr:row>
      <xdr:rowOff>27333</xdr:rowOff>
    </xdr:from>
    <xdr:to>
      <xdr:col>0</xdr:col>
      <xdr:colOff>1344083</xdr:colOff>
      <xdr:row>101</xdr:row>
      <xdr:rowOff>1509654</xdr:rowOff>
    </xdr:to>
    <xdr:pic>
      <xdr:nvPicPr>
        <xdr:cNvPr id="47" name="Picture 46" descr="JohannesPaul2.jp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32108" y="3096500"/>
          <a:ext cx="1211975" cy="1482321"/>
        </a:xfrm>
        <a:prstGeom prst="rect">
          <a:avLst/>
        </a:prstGeom>
      </xdr:spPr>
    </xdr:pic>
    <xdr:clientData/>
  </xdr:twoCellAnchor>
  <xdr:twoCellAnchor>
    <xdr:from>
      <xdr:col>3</xdr:col>
      <xdr:colOff>52916</xdr:colOff>
      <xdr:row>100</xdr:row>
      <xdr:rowOff>105834</xdr:rowOff>
    </xdr:from>
    <xdr:to>
      <xdr:col>7</xdr:col>
      <xdr:colOff>127000</xdr:colOff>
      <xdr:row>100</xdr:row>
      <xdr:rowOff>1322917</xdr:rowOff>
    </xdr:to>
    <xdr:sp macro="" textlink="">
      <xdr:nvSpPr>
        <xdr:cNvPr id="6" name="TextBox 5"/>
        <xdr:cNvSpPr txBox="1"/>
      </xdr:nvSpPr>
      <xdr:spPr>
        <a:xfrm>
          <a:off x="2772833" y="1640417"/>
          <a:ext cx="2529417" cy="121708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/>
            <a:t>Las fotos debes introducirlas en la columna A. Cada No. en la línea de la foto (100, 101, 102, etc.)</a:t>
          </a:r>
          <a:r>
            <a:rPr lang="en-US" sz="1100" baseline="0"/>
            <a:t> es el que identifica cada foto, incluso en la hoja DataBase Empleados.</a:t>
          </a:r>
          <a:endParaRPr lang="en-US" sz="1100"/>
        </a:p>
      </xdr:txBody>
    </xdr:sp>
    <xdr:clientData/>
  </xdr:twoCellAnchor>
  <xdr:twoCellAnchor editAs="oneCell">
    <xdr:from>
      <xdr:col>0</xdr:col>
      <xdr:colOff>137584</xdr:colOff>
      <xdr:row>102</xdr:row>
      <xdr:rowOff>84667</xdr:rowOff>
    </xdr:from>
    <xdr:to>
      <xdr:col>0</xdr:col>
      <xdr:colOff>1386417</xdr:colOff>
      <xdr:row>102</xdr:row>
      <xdr:rowOff>1511905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584" y="4688417"/>
          <a:ext cx="1248833" cy="142723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e1" displayName="Table1" ref="A4:N8" totalsRowShown="0" headerRowDxfId="10" headerRowBorderDxfId="9">
  <autoFilter ref="A4:N8"/>
  <tableColumns count="14">
    <tableColumn id="1" name="ID No." dataDxfId="8"/>
    <tableColumn id="2" name="Nombre"/>
    <tableColumn id="3" name="Apellido"/>
    <tableColumn id="4" name="Fecha Nac." dataDxfId="7"/>
    <tableColumn id="5" name="Lugar Nacim."/>
    <tableColumn id="6" name="Cédula" dataDxfId="6"/>
    <tableColumn id="7" name="Sexo"/>
    <tableColumn id="8" name="Estado Civil"/>
    <tableColumn id="9" name="Dirección"/>
    <tableColumn id="10" name="Ciudad"/>
    <tableColumn id="11" name="Estado"/>
    <tableColumn id="12" name="Código" dataDxfId="5"/>
    <tableColumn id="13" name="Email" dataDxfId="4"/>
    <tableColumn id="14" name="Teléfono" dataDxfId="3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EmploID" displayName="EmploID" ref="J1:L5" totalsRowShown="0">
  <autoFilter ref="J1:L5"/>
  <sortState ref="J2:L5">
    <sortCondition ref="J1:J5"/>
  </sortState>
  <tableColumns count="3">
    <tableColumn id="1" name="Nombre" dataDxfId="2"/>
    <tableColumn id="2" name="ID 1" dataDxfId="1"/>
    <tableColumn id="3" name="ID 2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julio1459@gmail.com" TargetMode="Externa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>
    <tabColor rgb="FFFF0000"/>
  </sheetPr>
  <dimension ref="B1:N33"/>
  <sheetViews>
    <sheetView showGridLines="0" tabSelected="1" zoomScale="80" zoomScaleNormal="80" workbookViewId="0">
      <selection activeCell="O7" sqref="O7"/>
    </sheetView>
  </sheetViews>
  <sheetFormatPr baseColWidth="10" defaultColWidth="9.140625" defaultRowHeight="14.25" customHeight="1" x14ac:dyDescent="0.2"/>
  <cols>
    <col min="1" max="1" width="3" customWidth="1"/>
    <col min="6" max="6" width="17" customWidth="1"/>
    <col min="8" max="9" width="9.140625" customWidth="1"/>
  </cols>
  <sheetData>
    <row r="1" spans="2:14" ht="14.25" customHeight="1" thickBot="1" x14ac:dyDescent="0.25"/>
    <row r="2" spans="2:14" ht="14.25" customHeight="1" thickTop="1" x14ac:dyDescent="0.2">
      <c r="B2" s="100"/>
      <c r="C2" s="101"/>
      <c r="D2" s="101"/>
      <c r="E2" s="101"/>
      <c r="F2" s="101"/>
      <c r="G2" s="101"/>
      <c r="H2" s="101"/>
      <c r="I2" s="101"/>
      <c r="J2" s="101"/>
      <c r="K2" s="43"/>
      <c r="L2" s="44"/>
      <c r="M2" s="44"/>
      <c r="N2" s="44"/>
    </row>
    <row r="3" spans="2:14" ht="14.25" customHeight="1" x14ac:dyDescent="0.2">
      <c r="B3" s="102"/>
      <c r="C3" s="103"/>
      <c r="D3" s="103"/>
      <c r="E3" s="103"/>
      <c r="F3" s="103"/>
      <c r="G3" s="103"/>
      <c r="H3" s="103"/>
      <c r="I3" s="103"/>
      <c r="J3" s="103"/>
      <c r="K3" s="43"/>
      <c r="L3" s="44"/>
      <c r="M3" s="44"/>
      <c r="N3" s="44"/>
    </row>
    <row r="4" spans="2:14" ht="14.25" customHeight="1" x14ac:dyDescent="0.2">
      <c r="B4" s="102"/>
      <c r="C4" s="103"/>
      <c r="D4" s="103"/>
      <c r="E4" s="103"/>
      <c r="F4" s="103"/>
      <c r="G4" s="103"/>
      <c r="H4" s="103"/>
      <c r="I4" s="103"/>
      <c r="J4" s="103"/>
      <c r="K4" s="43"/>
      <c r="L4" s="44"/>
      <c r="M4" s="44"/>
      <c r="N4" s="44"/>
    </row>
    <row r="5" spans="2:14" ht="14.25" customHeight="1" x14ac:dyDescent="0.2">
      <c r="B5" s="102"/>
      <c r="C5" s="103"/>
      <c r="D5" s="103"/>
      <c r="E5" s="103"/>
      <c r="F5" s="103"/>
      <c r="G5" s="103"/>
      <c r="H5" s="103"/>
      <c r="I5" s="103"/>
      <c r="J5" s="103"/>
      <c r="K5" s="43"/>
      <c r="L5" s="44"/>
      <c r="M5" s="44"/>
      <c r="N5" s="44"/>
    </row>
    <row r="6" spans="2:14" ht="14.25" customHeight="1" x14ac:dyDescent="0.2">
      <c r="B6" s="102"/>
      <c r="C6" s="103"/>
      <c r="D6" s="103"/>
      <c r="E6" s="103"/>
      <c r="F6" s="103"/>
      <c r="G6" s="103"/>
      <c r="H6" s="103"/>
      <c r="I6" s="103"/>
      <c r="J6" s="103"/>
      <c r="K6" s="43"/>
      <c r="L6" s="44"/>
      <c r="M6" s="44"/>
      <c r="N6" s="44"/>
    </row>
    <row r="7" spans="2:14" ht="14.25" customHeight="1" x14ac:dyDescent="0.2">
      <c r="B7" s="102"/>
      <c r="C7" s="103"/>
      <c r="D7" s="103"/>
      <c r="E7" s="103"/>
      <c r="F7" s="103"/>
      <c r="G7" s="103"/>
      <c r="H7" s="103"/>
      <c r="I7" s="103"/>
      <c r="J7" s="103"/>
      <c r="K7" s="43"/>
      <c r="L7" s="44"/>
      <c r="M7" s="44"/>
      <c r="N7" s="44"/>
    </row>
    <row r="8" spans="2:14" ht="14.25" customHeight="1" x14ac:dyDescent="0.2">
      <c r="B8" s="102"/>
      <c r="C8" s="103"/>
      <c r="D8" s="103"/>
      <c r="E8" s="103"/>
      <c r="F8" s="103"/>
      <c r="G8" s="103"/>
      <c r="H8" s="103"/>
      <c r="I8" s="103"/>
      <c r="J8" s="103"/>
      <c r="K8" s="43"/>
      <c r="L8" s="44"/>
      <c r="M8" s="44"/>
      <c r="N8" s="44"/>
    </row>
    <row r="9" spans="2:14" ht="14.25" customHeight="1" x14ac:dyDescent="0.2">
      <c r="B9" s="102"/>
      <c r="C9" s="103"/>
      <c r="D9" s="103"/>
      <c r="E9" s="103"/>
      <c r="F9" s="103"/>
      <c r="G9" s="103"/>
      <c r="H9" s="103"/>
      <c r="I9" s="103"/>
      <c r="J9" s="103"/>
      <c r="K9" s="43"/>
      <c r="L9" s="44"/>
      <c r="M9" s="44"/>
      <c r="N9" s="44"/>
    </row>
    <row r="10" spans="2:14" ht="14.25" customHeight="1" x14ac:dyDescent="0.2">
      <c r="B10" s="102"/>
      <c r="C10" s="103"/>
      <c r="D10" s="103"/>
      <c r="E10" s="103"/>
      <c r="F10" s="103"/>
      <c r="G10" s="103"/>
      <c r="H10" s="103"/>
      <c r="I10" s="103"/>
      <c r="J10" s="103"/>
      <c r="K10" s="43"/>
      <c r="L10" s="44"/>
      <c r="M10" s="44"/>
      <c r="N10" s="44"/>
    </row>
    <row r="11" spans="2:14" ht="14.25" customHeight="1" x14ac:dyDescent="0.2">
      <c r="B11" s="102"/>
      <c r="C11" s="103"/>
      <c r="D11" s="103"/>
      <c r="E11" s="103"/>
      <c r="F11" s="103"/>
      <c r="G11" s="103"/>
      <c r="H11" s="103"/>
      <c r="I11" s="103"/>
      <c r="J11" s="103"/>
      <c r="K11" s="43"/>
      <c r="L11" s="44"/>
      <c r="M11" s="44"/>
      <c r="N11" s="44"/>
    </row>
    <row r="12" spans="2:14" ht="14.25" customHeight="1" x14ac:dyDescent="0.2">
      <c r="B12" s="102"/>
      <c r="C12" s="103"/>
      <c r="D12" s="103"/>
      <c r="E12" s="103"/>
      <c r="F12" s="103"/>
      <c r="G12" s="103"/>
      <c r="H12" s="103"/>
      <c r="I12" s="103"/>
      <c r="J12" s="103"/>
      <c r="K12" s="43"/>
      <c r="L12" s="44"/>
      <c r="M12" s="44"/>
      <c r="N12" s="44"/>
    </row>
    <row r="13" spans="2:14" ht="14.25" customHeight="1" x14ac:dyDescent="0.2">
      <c r="B13" s="102"/>
      <c r="C13" s="103"/>
      <c r="D13" s="103"/>
      <c r="E13" s="103"/>
      <c r="F13" s="103"/>
      <c r="G13" s="103"/>
      <c r="H13" s="103"/>
      <c r="I13" s="103"/>
      <c r="J13" s="103"/>
      <c r="K13" s="43"/>
      <c r="L13" s="44"/>
      <c r="M13" s="44"/>
      <c r="N13" s="44"/>
    </row>
    <row r="14" spans="2:14" ht="14.25" customHeight="1" x14ac:dyDescent="0.2">
      <c r="B14" s="102"/>
      <c r="C14" s="103"/>
      <c r="D14" s="103"/>
      <c r="E14" s="103"/>
      <c r="F14" s="103"/>
      <c r="G14" s="103"/>
      <c r="H14" s="103"/>
      <c r="I14" s="103"/>
      <c r="J14" s="103"/>
      <c r="K14" s="43"/>
      <c r="L14" s="44"/>
      <c r="M14" s="44"/>
      <c r="N14" s="44"/>
    </row>
    <row r="15" spans="2:14" ht="14.25" customHeight="1" x14ac:dyDescent="0.2">
      <c r="B15" s="102"/>
      <c r="C15" s="103"/>
      <c r="D15" s="103"/>
      <c r="E15" s="103"/>
      <c r="F15" s="103"/>
      <c r="G15" s="103"/>
      <c r="H15" s="103"/>
      <c r="I15" s="103"/>
      <c r="J15" s="103"/>
      <c r="K15" s="43"/>
      <c r="L15" s="44"/>
      <c r="M15" s="44"/>
      <c r="N15" s="44"/>
    </row>
    <row r="16" spans="2:14" ht="14.25" customHeight="1" x14ac:dyDescent="0.2">
      <c r="B16" s="102"/>
      <c r="C16" s="103"/>
      <c r="D16" s="103"/>
      <c r="E16" s="103"/>
      <c r="F16" s="103"/>
      <c r="G16" s="103"/>
      <c r="H16" s="103"/>
      <c r="I16" s="103"/>
      <c r="J16" s="103"/>
      <c r="K16" s="43"/>
      <c r="L16" s="44"/>
      <c r="M16" s="44"/>
      <c r="N16" s="44"/>
    </row>
    <row r="17" spans="2:14" ht="14.25" customHeight="1" x14ac:dyDescent="0.2">
      <c r="B17" s="102"/>
      <c r="C17" s="103"/>
      <c r="D17" s="103"/>
      <c r="E17" s="103"/>
      <c r="F17" s="103"/>
      <c r="G17" s="103"/>
      <c r="H17" s="103"/>
      <c r="I17" s="103"/>
      <c r="J17" s="103"/>
      <c r="K17" s="43"/>
      <c r="L17" s="44"/>
      <c r="M17" s="44"/>
      <c r="N17" s="44"/>
    </row>
    <row r="18" spans="2:14" ht="14.25" customHeight="1" x14ac:dyDescent="0.2">
      <c r="B18" s="102"/>
      <c r="C18" s="103"/>
      <c r="D18" s="103"/>
      <c r="E18" s="103"/>
      <c r="F18" s="103"/>
      <c r="G18" s="103"/>
      <c r="H18" s="103"/>
      <c r="I18" s="103"/>
      <c r="J18" s="103"/>
      <c r="K18" s="43"/>
      <c r="L18" s="44"/>
      <c r="M18" s="44"/>
      <c r="N18" s="44"/>
    </row>
    <row r="19" spans="2:14" ht="14.25" customHeight="1" x14ac:dyDescent="0.2">
      <c r="B19" s="102"/>
      <c r="C19" s="103"/>
      <c r="D19" s="103"/>
      <c r="E19" s="103"/>
      <c r="F19" s="103"/>
      <c r="G19" s="103"/>
      <c r="H19" s="103"/>
      <c r="I19" s="103"/>
      <c r="J19" s="103"/>
      <c r="K19" s="43"/>
      <c r="L19" s="44"/>
      <c r="M19" s="44"/>
      <c r="N19" s="44"/>
    </row>
    <row r="20" spans="2:14" ht="14.25" customHeight="1" x14ac:dyDescent="0.2">
      <c r="B20" s="102"/>
      <c r="C20" s="103"/>
      <c r="D20" s="103"/>
      <c r="E20" s="103"/>
      <c r="F20" s="103"/>
      <c r="G20" s="103"/>
      <c r="H20" s="103"/>
      <c r="I20" s="103"/>
      <c r="J20" s="103"/>
      <c r="K20" s="43"/>
      <c r="L20" s="44"/>
      <c r="M20" s="44"/>
      <c r="N20" s="44"/>
    </row>
    <row r="21" spans="2:14" ht="14.25" customHeight="1" x14ac:dyDescent="0.2">
      <c r="B21" s="102"/>
      <c r="C21" s="103"/>
      <c r="D21" s="103"/>
      <c r="E21" s="103"/>
      <c r="F21" s="103"/>
      <c r="G21" s="103"/>
      <c r="H21" s="103"/>
      <c r="I21" s="103"/>
      <c r="J21" s="103"/>
      <c r="K21" s="43"/>
      <c r="L21" s="44"/>
      <c r="M21" s="44"/>
      <c r="N21" s="44"/>
    </row>
    <row r="22" spans="2:14" ht="14.25" customHeight="1" x14ac:dyDescent="0.2">
      <c r="B22" s="102"/>
      <c r="C22" s="103"/>
      <c r="D22" s="103"/>
      <c r="E22" s="103"/>
      <c r="F22" s="103"/>
      <c r="G22" s="103"/>
      <c r="H22" s="103"/>
      <c r="I22" s="103"/>
      <c r="J22" s="103"/>
      <c r="K22" s="43"/>
      <c r="L22" s="44"/>
      <c r="M22" s="44"/>
      <c r="N22" s="44"/>
    </row>
    <row r="23" spans="2:14" ht="14.25" customHeight="1" x14ac:dyDescent="0.2">
      <c r="B23" s="102"/>
      <c r="C23" s="103"/>
      <c r="D23" s="103"/>
      <c r="E23" s="103"/>
      <c r="F23" s="103"/>
      <c r="G23" s="103"/>
      <c r="H23" s="103"/>
      <c r="I23" s="103"/>
      <c r="J23" s="103"/>
      <c r="K23" s="43"/>
      <c r="L23" s="44"/>
      <c r="M23" s="44"/>
      <c r="N23" s="44"/>
    </row>
    <row r="24" spans="2:14" ht="14.25" customHeight="1" x14ac:dyDescent="0.2">
      <c r="B24" s="102"/>
      <c r="C24" s="103"/>
      <c r="D24" s="103"/>
      <c r="E24" s="103"/>
      <c r="F24" s="103"/>
      <c r="G24" s="103"/>
      <c r="H24" s="103"/>
      <c r="I24" s="103"/>
      <c r="J24" s="103"/>
      <c r="K24" s="43"/>
      <c r="L24" s="44"/>
      <c r="M24" s="44"/>
      <c r="N24" s="44"/>
    </row>
    <row r="25" spans="2:14" ht="14.25" customHeight="1" x14ac:dyDescent="0.2">
      <c r="B25" s="102"/>
      <c r="C25" s="103"/>
      <c r="D25" s="103"/>
      <c r="E25" s="103"/>
      <c r="F25" s="103"/>
      <c r="G25" s="103"/>
      <c r="H25" s="103"/>
      <c r="I25" s="103"/>
      <c r="J25" s="103"/>
      <c r="K25" s="43"/>
      <c r="L25" s="44"/>
      <c r="M25" s="44"/>
      <c r="N25" s="44"/>
    </row>
    <row r="26" spans="2:14" ht="14.25" customHeight="1" x14ac:dyDescent="0.2">
      <c r="B26" s="102"/>
      <c r="C26" s="103"/>
      <c r="D26" s="103"/>
      <c r="E26" s="103"/>
      <c r="F26" s="103"/>
      <c r="G26" s="103"/>
      <c r="H26" s="103"/>
      <c r="I26" s="103"/>
      <c r="J26" s="103"/>
      <c r="K26" s="43"/>
      <c r="L26" s="44"/>
      <c r="M26" s="44"/>
      <c r="N26" s="44"/>
    </row>
    <row r="27" spans="2:14" ht="14.25" customHeight="1" x14ac:dyDescent="0.2">
      <c r="B27" s="102"/>
      <c r="C27" s="103"/>
      <c r="D27" s="103"/>
      <c r="E27" s="103"/>
      <c r="F27" s="103"/>
      <c r="G27" s="103"/>
      <c r="H27" s="103"/>
      <c r="I27" s="103"/>
      <c r="J27" s="103"/>
      <c r="K27" s="43"/>
      <c r="L27" s="44"/>
      <c r="M27" s="44"/>
      <c r="N27" s="44"/>
    </row>
    <row r="28" spans="2:14" ht="14.25" customHeight="1" x14ac:dyDescent="0.2">
      <c r="B28" s="102"/>
      <c r="C28" s="103"/>
      <c r="D28" s="103"/>
      <c r="E28" s="103"/>
      <c r="F28" s="103"/>
      <c r="G28" s="103"/>
      <c r="H28" s="103"/>
      <c r="I28" s="103"/>
      <c r="J28" s="103"/>
      <c r="K28" s="43"/>
      <c r="L28" s="44"/>
      <c r="M28" s="44"/>
      <c r="N28" s="44"/>
    </row>
    <row r="29" spans="2:14" ht="15.75" customHeight="1" x14ac:dyDescent="0.2">
      <c r="B29" s="102"/>
      <c r="C29" s="103"/>
      <c r="D29" s="103"/>
      <c r="E29" s="103"/>
      <c r="F29" s="40">
        <f ca="1">NOW()</f>
        <v>41408.582152893519</v>
      </c>
      <c r="G29" s="103"/>
      <c r="H29" s="103"/>
      <c r="I29" s="103"/>
      <c r="J29" s="103"/>
      <c r="K29" s="43"/>
      <c r="L29" s="44"/>
      <c r="M29" s="44"/>
      <c r="N29" s="44"/>
    </row>
    <row r="30" spans="2:14" ht="15.75" customHeight="1" x14ac:dyDescent="0.2">
      <c r="B30" s="102"/>
      <c r="C30" s="103"/>
      <c r="D30" s="103"/>
      <c r="E30" s="103"/>
      <c r="F30" s="106">
        <f ca="1">NOW()</f>
        <v>41408.582152893519</v>
      </c>
      <c r="G30" s="103"/>
      <c r="H30" s="103"/>
      <c r="I30" s="103"/>
      <c r="J30" s="103"/>
      <c r="K30" s="43"/>
      <c r="L30" s="44"/>
      <c r="M30" s="44"/>
      <c r="N30" s="44"/>
    </row>
    <row r="31" spans="2:14" ht="14.25" customHeight="1" x14ac:dyDescent="0.2">
      <c r="B31" s="102"/>
      <c r="C31" s="103"/>
      <c r="D31" s="103"/>
      <c r="E31" s="103"/>
      <c r="F31" s="103"/>
      <c r="G31" s="103"/>
      <c r="H31" s="103"/>
      <c r="I31" s="103"/>
      <c r="J31" s="103"/>
      <c r="K31" s="43"/>
      <c r="L31" s="44"/>
      <c r="M31" s="44"/>
      <c r="N31" s="44"/>
    </row>
    <row r="32" spans="2:14" ht="14.25" customHeight="1" thickBot="1" x14ac:dyDescent="0.25">
      <c r="B32" s="104"/>
      <c r="C32" s="105"/>
      <c r="D32" s="105"/>
      <c r="E32" s="105"/>
      <c r="F32" s="105"/>
      <c r="G32" s="105"/>
      <c r="H32" s="105"/>
      <c r="I32" s="105"/>
      <c r="J32" s="105"/>
      <c r="K32" s="43"/>
      <c r="L32" s="44"/>
      <c r="M32" s="44"/>
      <c r="N32" s="44"/>
    </row>
    <row r="33" ht="14.25" customHeight="1" thickTop="1" x14ac:dyDescent="0.2"/>
  </sheetData>
  <sheetProtection selectLockedCells="1"/>
  <pageMargins left="0.7" right="0.7" top="0.75" bottom="0.75" header="0.3" footer="0.3"/>
  <pageSetup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>
    <tabColor theme="9" tint="-0.249977111117893"/>
  </sheetPr>
  <dimension ref="A1:N8"/>
  <sheetViews>
    <sheetView workbookViewId="0">
      <pane ySplit="4" topLeftCell="A5" activePane="bottomLeft" state="frozen"/>
      <selection pane="bottomLeft" activeCell="C18" sqref="C18"/>
    </sheetView>
  </sheetViews>
  <sheetFormatPr baseColWidth="10" defaultColWidth="9.140625" defaultRowHeight="15" customHeight="1" x14ac:dyDescent="0.2"/>
  <cols>
    <col min="1" max="1" width="11.5703125" style="2" customWidth="1"/>
    <col min="2" max="2" width="22.7109375" customWidth="1"/>
    <col min="3" max="3" width="20.85546875" customWidth="1"/>
    <col min="4" max="4" width="15.140625" style="95" customWidth="1"/>
    <col min="5" max="5" width="30.85546875" bestFit="1" customWidth="1"/>
    <col min="6" max="6" width="14.5703125" style="10" customWidth="1"/>
    <col min="7" max="7" width="11.85546875" customWidth="1"/>
    <col min="8" max="8" width="17.7109375" customWidth="1"/>
    <col min="9" max="9" width="26.28515625" customWidth="1"/>
    <col min="10" max="10" width="18.42578125" customWidth="1"/>
    <col min="11" max="11" width="12.140625" bestFit="1" customWidth="1"/>
    <col min="12" max="12" width="11.7109375" style="7" customWidth="1"/>
    <col min="13" max="13" width="29.5703125" style="9" customWidth="1"/>
    <col min="14" max="14" width="18" style="11" customWidth="1"/>
  </cols>
  <sheetData>
    <row r="1" spans="1:14" s="41" customFormat="1" ht="23.25" customHeight="1" x14ac:dyDescent="0.2">
      <c r="D1" s="94"/>
    </row>
    <row r="2" spans="1:14" ht="29.25" customHeight="1" thickBot="1" x14ac:dyDescent="0.55000000000000004">
      <c r="A2" s="6" t="s">
        <v>42</v>
      </c>
      <c r="B2" s="5"/>
      <c r="C2" s="5"/>
    </row>
    <row r="3" spans="1:14" s="8" customFormat="1" ht="18" customHeight="1" thickTop="1" x14ac:dyDescent="0.2">
      <c r="A3" s="12"/>
      <c r="B3" s="108" t="s">
        <v>18</v>
      </c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8"/>
      <c r="N3" s="108"/>
    </row>
    <row r="4" spans="1:14" s="13" customFormat="1" ht="15" customHeight="1" thickBot="1" x14ac:dyDescent="0.3">
      <c r="A4" s="13" t="s">
        <v>3</v>
      </c>
      <c r="B4" s="13" t="s">
        <v>34</v>
      </c>
      <c r="C4" s="13" t="s">
        <v>35</v>
      </c>
      <c r="D4" s="96" t="s">
        <v>36</v>
      </c>
      <c r="E4" s="13" t="s">
        <v>37</v>
      </c>
      <c r="F4" s="14" t="s">
        <v>38</v>
      </c>
      <c r="G4" s="13" t="s">
        <v>24</v>
      </c>
      <c r="H4" s="13" t="s">
        <v>39</v>
      </c>
      <c r="I4" s="13" t="s">
        <v>40</v>
      </c>
      <c r="J4" s="13" t="s">
        <v>27</v>
      </c>
      <c r="K4" s="13" t="s">
        <v>28</v>
      </c>
      <c r="L4" s="13" t="s">
        <v>41</v>
      </c>
      <c r="M4" s="15" t="s">
        <v>4</v>
      </c>
      <c r="N4" s="15" t="s">
        <v>30</v>
      </c>
    </row>
    <row r="5" spans="1:14" ht="15" customHeight="1" thickTop="1" x14ac:dyDescent="0.2">
      <c r="A5" s="2">
        <v>100</v>
      </c>
      <c r="B5" s="97" t="s">
        <v>50</v>
      </c>
      <c r="C5" s="97" t="s">
        <v>51</v>
      </c>
      <c r="D5" s="95">
        <v>22602</v>
      </c>
      <c r="E5" t="s">
        <v>1</v>
      </c>
      <c r="F5" s="10">
        <v>123456789</v>
      </c>
      <c r="G5" s="97" t="s">
        <v>54</v>
      </c>
      <c r="H5" s="97" t="s">
        <v>52</v>
      </c>
      <c r="I5" t="s">
        <v>7</v>
      </c>
      <c r="J5" s="97" t="s">
        <v>57</v>
      </c>
      <c r="K5" s="97" t="s">
        <v>56</v>
      </c>
      <c r="L5" s="7">
        <v>10472</v>
      </c>
      <c r="M5" s="39" t="s">
        <v>5</v>
      </c>
      <c r="N5" s="11" t="s">
        <v>6</v>
      </c>
    </row>
    <row r="6" spans="1:14" ht="15" customHeight="1" x14ac:dyDescent="0.2">
      <c r="A6" s="32">
        <v>101</v>
      </c>
      <c r="B6" s="33" t="s">
        <v>8</v>
      </c>
      <c r="C6" s="33" t="s">
        <v>2</v>
      </c>
      <c r="D6" s="95">
        <v>11746</v>
      </c>
      <c r="E6" s="33" t="s">
        <v>9</v>
      </c>
      <c r="F6" s="34"/>
      <c r="G6" s="84" t="s">
        <v>55</v>
      </c>
      <c r="H6" s="84" t="s">
        <v>53</v>
      </c>
      <c r="I6" s="33"/>
      <c r="J6" s="33" t="s">
        <v>10</v>
      </c>
      <c r="K6" s="33" t="s">
        <v>11</v>
      </c>
      <c r="L6" s="35"/>
      <c r="M6" s="38"/>
      <c r="N6" s="36"/>
    </row>
    <row r="7" spans="1:14" ht="15" customHeight="1" x14ac:dyDescent="0.2">
      <c r="A7" s="32">
        <v>102</v>
      </c>
      <c r="B7" s="33" t="s">
        <v>15</v>
      </c>
      <c r="C7" s="84" t="s">
        <v>49</v>
      </c>
      <c r="D7" s="95">
        <v>7444</v>
      </c>
      <c r="E7" s="33" t="s">
        <v>12</v>
      </c>
      <c r="F7" s="34"/>
      <c r="G7" s="84" t="s">
        <v>54</v>
      </c>
      <c r="H7" s="84" t="s">
        <v>53</v>
      </c>
      <c r="I7" s="33"/>
      <c r="J7" s="33" t="s">
        <v>13</v>
      </c>
      <c r="K7" s="33" t="s">
        <v>14</v>
      </c>
      <c r="L7" s="35"/>
      <c r="M7" s="38"/>
      <c r="N7" s="36"/>
    </row>
    <row r="8" spans="1:14" ht="15" customHeight="1" x14ac:dyDescent="0.2">
      <c r="A8" s="2">
        <v>103</v>
      </c>
      <c r="B8" t="s">
        <v>58</v>
      </c>
      <c r="C8" t="s">
        <v>59</v>
      </c>
      <c r="D8" s="95">
        <v>32179</v>
      </c>
      <c r="E8" t="s">
        <v>60</v>
      </c>
      <c r="F8" s="10">
        <v>45520011</v>
      </c>
      <c r="G8" t="s">
        <v>54</v>
      </c>
      <c r="H8" t="s">
        <v>61</v>
      </c>
      <c r="I8" t="s">
        <v>62</v>
      </c>
      <c r="J8" t="s">
        <v>60</v>
      </c>
      <c r="L8" s="7">
        <v>51</v>
      </c>
      <c r="M8" s="9" t="s">
        <v>63</v>
      </c>
      <c r="N8" s="11">
        <v>2323323023</v>
      </c>
    </row>
  </sheetData>
  <mergeCells count="1">
    <mergeCell ref="B3:N3"/>
  </mergeCells>
  <hyperlinks>
    <hyperlink ref="M5" r:id="rId1"/>
  </hyperlinks>
  <pageMargins left="0.7" right="0.7" top="0.75" bottom="0.75" header="0.3" footer="0.3"/>
  <pageSetup orientation="portrait" r:id="rId2"/>
  <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2"/>
  <dimension ref="A1:O24"/>
  <sheetViews>
    <sheetView showGridLines="0" zoomScale="80" zoomScaleNormal="80" workbookViewId="0">
      <selection activeCell="C2" sqref="C2"/>
    </sheetView>
  </sheetViews>
  <sheetFormatPr baseColWidth="10" defaultColWidth="9.140625" defaultRowHeight="12.75" x14ac:dyDescent="0.2"/>
  <cols>
    <col min="1" max="1" width="3.7109375" style="3" customWidth="1"/>
    <col min="2" max="2" width="22.85546875" style="3" customWidth="1"/>
    <col min="3" max="3" width="29" style="3" customWidth="1"/>
    <col min="4" max="4" width="13.7109375" style="3" customWidth="1"/>
    <col min="5" max="5" width="3.85546875" style="3" customWidth="1"/>
    <col min="6" max="6" width="20.28515625" style="3" customWidth="1"/>
    <col min="7" max="7" width="3.7109375" style="3" customWidth="1"/>
    <col min="8" max="8" width="15.42578125" style="3" customWidth="1"/>
    <col min="9" max="9" width="10.5703125" style="3" customWidth="1"/>
    <col min="10" max="10" width="27.85546875" style="74" hidden="1" customWidth="1"/>
    <col min="11" max="11" width="10.5703125" style="73" hidden="1" customWidth="1"/>
    <col min="12" max="12" width="10.5703125" style="75" hidden="1" customWidth="1"/>
    <col min="13" max="15" width="8.7109375" customWidth="1"/>
    <col min="16" max="16384" width="9.140625" style="3"/>
  </cols>
  <sheetData>
    <row r="1" spans="1:12" ht="21.75" customHeight="1" x14ac:dyDescent="0.2">
      <c r="A1" s="98"/>
      <c r="B1" s="115" t="s">
        <v>31</v>
      </c>
      <c r="C1" s="116"/>
      <c r="F1" s="117" t="s">
        <v>0</v>
      </c>
      <c r="J1" s="79" t="s">
        <v>34</v>
      </c>
      <c r="K1" s="80" t="s">
        <v>45</v>
      </c>
      <c r="L1" s="81" t="s">
        <v>46</v>
      </c>
    </row>
    <row r="2" spans="1:12" ht="20.25" customHeight="1" thickBot="1" x14ac:dyDescent="0.3">
      <c r="A2" s="99"/>
      <c r="B2" s="72" t="s">
        <v>44</v>
      </c>
      <c r="C2" s="85" t="s">
        <v>58</v>
      </c>
      <c r="D2" s="71"/>
      <c r="E2" s="28"/>
      <c r="F2" s="118"/>
      <c r="J2" s="82" t="s">
        <v>47</v>
      </c>
      <c r="K2" s="83">
        <v>101</v>
      </c>
      <c r="L2" s="78">
        <v>101</v>
      </c>
    </row>
    <row r="3" spans="1:12" ht="19.5" customHeight="1" thickBot="1" x14ac:dyDescent="0.25">
      <c r="A3" s="99"/>
      <c r="B3" s="72" t="s">
        <v>43</v>
      </c>
      <c r="C3" s="31">
        <f>IFERROR(VLOOKUP(C2,EmpDB,2,0),"")</f>
        <v>103</v>
      </c>
      <c r="D3" s="70"/>
      <c r="E3" s="29"/>
      <c r="F3" s="118"/>
      <c r="J3" s="82" t="s">
        <v>50</v>
      </c>
      <c r="K3" s="83">
        <v>100</v>
      </c>
      <c r="L3" s="78">
        <v>100</v>
      </c>
    </row>
    <row r="4" spans="1:12" ht="41.25" customHeight="1" x14ac:dyDescent="0.2">
      <c r="A4" s="99"/>
      <c r="B4" s="4"/>
      <c r="F4" s="118"/>
      <c r="J4" s="82" t="s">
        <v>48</v>
      </c>
      <c r="K4" s="83">
        <v>102</v>
      </c>
      <c r="L4" s="78">
        <v>102</v>
      </c>
    </row>
    <row r="5" spans="1:12" x14ac:dyDescent="0.2">
      <c r="A5" s="99"/>
      <c r="B5" s="1" t="s">
        <v>32</v>
      </c>
      <c r="F5" s="118"/>
      <c r="J5" s="82" t="s">
        <v>58</v>
      </c>
      <c r="K5" s="83">
        <v>103</v>
      </c>
      <c r="L5" s="78">
        <v>103</v>
      </c>
    </row>
    <row r="6" spans="1:12" ht="19.5" customHeight="1" x14ac:dyDescent="0.25">
      <c r="A6" s="99"/>
      <c r="B6" s="86" t="s">
        <v>19</v>
      </c>
      <c r="C6" s="119" t="str">
        <f>IFERROR(VLOOKUP($C$3,EmployeeDataBase,2,FALSE)," ")</f>
        <v>GUSTAVO</v>
      </c>
      <c r="D6" s="119"/>
      <c r="E6" s="119"/>
      <c r="F6" s="120"/>
      <c r="J6" s="82"/>
      <c r="K6" s="83"/>
      <c r="L6" s="78"/>
    </row>
    <row r="7" spans="1:12" ht="19.5" customHeight="1" x14ac:dyDescent="0.25">
      <c r="A7" s="99"/>
      <c r="B7" s="87" t="s">
        <v>20</v>
      </c>
      <c r="C7" s="111" t="str">
        <f>IFERROR(VLOOKUP($C$3,EmployeeDataBase,3,FALSE)," ")</f>
        <v>ADOLFO</v>
      </c>
      <c r="D7" s="111"/>
      <c r="E7" s="111"/>
      <c r="F7" s="112"/>
      <c r="J7" s="82"/>
      <c r="K7" s="83"/>
      <c r="L7" s="78"/>
    </row>
    <row r="8" spans="1:12" ht="19.5" customHeight="1" thickBot="1" x14ac:dyDescent="0.3">
      <c r="A8" s="99"/>
      <c r="B8" s="87"/>
      <c r="C8" s="16"/>
      <c r="D8" s="17" t="s">
        <v>33</v>
      </c>
      <c r="E8" s="17"/>
      <c r="F8" s="18"/>
      <c r="J8" s="82"/>
      <c r="K8" s="83"/>
      <c r="L8" s="78"/>
    </row>
    <row r="9" spans="1:12" ht="19.5" customHeight="1" thickBot="1" x14ac:dyDescent="0.3">
      <c r="A9" s="99"/>
      <c r="B9" s="87" t="s">
        <v>21</v>
      </c>
      <c r="C9" s="91">
        <f>IFERROR(VLOOKUP($C$3,EmployeeDataBase,4,FALSE)," ")</f>
        <v>32179</v>
      </c>
      <c r="D9" s="89" t="str">
        <f t="array" aca="1" ref="D9" ca="1">IF(ISNUMBER($C9),(DATEDIF($C9,TODAY(),"Y")&amp;" años"),DATEDIF(DATE(1900,LEFT(RIGHT(C9,LEN(C9)-SEARCH("/",C9,1)),SEARCH("/",RIGHT(C9,LEN(C9)-SEARCH("/",C9,1)),1)-1),LEFT(C9,SEARCH("/",C9,1)-1)),TODAY(),"y")+DATEDIF("1/1/1900",DATE(1900,LEFT(RIGHT(C9,LEN(C9)-SEARCH("/",C9,1)),SEARCH("/",RIGHT(C9,LEN(C9)-SEARCH("/",C9,1)),1)-1),LEFT(C9,SEARCH("/",C9,1)-1)),"y")&amp;" años")</f>
        <v>25 años</v>
      </c>
      <c r="E9" s="30"/>
      <c r="F9" s="19"/>
      <c r="J9" s="82"/>
      <c r="K9" s="83"/>
      <c r="L9" s="78"/>
    </row>
    <row r="10" spans="1:12" ht="19.5" customHeight="1" x14ac:dyDescent="0.25">
      <c r="A10" s="99"/>
      <c r="B10" s="87" t="s">
        <v>22</v>
      </c>
      <c r="C10" s="121" t="str">
        <f>IFERROR(VLOOKUP($C$3,EmployeeDataBase,5,FALSE)," ")</f>
        <v>TRUJILLO</v>
      </c>
      <c r="D10" s="122"/>
      <c r="E10" s="122"/>
      <c r="F10" s="123"/>
      <c r="J10" s="82"/>
      <c r="K10" s="83"/>
      <c r="L10" s="78"/>
    </row>
    <row r="11" spans="1:12" ht="19.5" customHeight="1" x14ac:dyDescent="0.25">
      <c r="A11" s="99"/>
      <c r="B11" s="87" t="s">
        <v>23</v>
      </c>
      <c r="C11" s="109">
        <f>IFERROR(VLOOKUP($C$3,EmployeeDataBase,6,FALSE)," ")</f>
        <v>45520011</v>
      </c>
      <c r="D11" s="109"/>
      <c r="E11" s="109"/>
      <c r="F11" s="110"/>
      <c r="J11" s="76"/>
      <c r="K11" s="77"/>
      <c r="L11" s="78"/>
    </row>
    <row r="12" spans="1:12" ht="19.5" customHeight="1" x14ac:dyDescent="0.25">
      <c r="A12" s="99"/>
      <c r="B12" s="87" t="s">
        <v>24</v>
      </c>
      <c r="C12" s="37" t="str">
        <f>IFERROR(VLOOKUP($C$3,EmployeeDataBase,7,FALSE)," ")</f>
        <v>Masculino</v>
      </c>
      <c r="D12" s="20"/>
      <c r="E12" s="20"/>
      <c r="F12" s="21"/>
    </row>
    <row r="13" spans="1:12" ht="19.5" customHeight="1" x14ac:dyDescent="0.25">
      <c r="A13" s="99"/>
      <c r="B13" s="87" t="s">
        <v>39</v>
      </c>
      <c r="C13" s="37" t="str">
        <f>IFERROR(VLOOKUP($C$3,EmployeeDataBase,8,FALSE)," ")</f>
        <v>Soltero</v>
      </c>
      <c r="D13" s="22"/>
      <c r="E13" s="22"/>
      <c r="F13" s="23"/>
    </row>
    <row r="14" spans="1:12" ht="19.5" customHeight="1" x14ac:dyDescent="0.25">
      <c r="A14" s="99"/>
      <c r="B14" s="87"/>
      <c r="C14" s="16"/>
      <c r="D14" s="16"/>
      <c r="E14" s="16"/>
      <c r="F14" s="18"/>
    </row>
    <row r="15" spans="1:12" ht="19.5" customHeight="1" x14ac:dyDescent="0.25">
      <c r="A15" s="99"/>
      <c r="B15" s="87" t="s">
        <v>25</v>
      </c>
      <c r="C15" s="111" t="str">
        <f>IFERROR(VLOOKUP($C$3,EmployeeDataBase,9,FALSE)," ")</f>
        <v>BERNARDO OHIGGINS 1252</v>
      </c>
      <c r="D15" s="111"/>
      <c r="E15" s="111"/>
      <c r="F15" s="112"/>
    </row>
    <row r="16" spans="1:12" ht="19.5" customHeight="1" x14ac:dyDescent="0.25">
      <c r="A16" s="99"/>
      <c r="B16" s="87" t="s">
        <v>26</v>
      </c>
      <c r="C16" s="113"/>
      <c r="D16" s="113"/>
      <c r="E16" s="113"/>
      <c r="F16" s="114"/>
    </row>
    <row r="17" spans="1:7" ht="19.5" customHeight="1" x14ac:dyDescent="0.25">
      <c r="A17" s="99"/>
      <c r="B17" s="87" t="s">
        <v>27</v>
      </c>
      <c r="C17" s="111" t="str">
        <f>IFERROR(VLOOKUP($C$3,EmployeeDataBase,10,FALSE)," ")</f>
        <v>TRUJILLO</v>
      </c>
      <c r="D17" s="111"/>
      <c r="E17" s="111"/>
      <c r="F17" s="112"/>
    </row>
    <row r="18" spans="1:7" ht="19.5" customHeight="1" x14ac:dyDescent="0.25">
      <c r="A18" s="99"/>
      <c r="B18" s="87" t="s">
        <v>28</v>
      </c>
      <c r="C18" s="111">
        <f>IFERROR(VLOOKUP($C$3,EmployeeDataBase,11,FALSE)," ")</f>
        <v>0</v>
      </c>
      <c r="D18" s="111"/>
      <c r="E18" s="111"/>
      <c r="F18" s="112"/>
    </row>
    <row r="19" spans="1:7" ht="19.5" customHeight="1" x14ac:dyDescent="0.25">
      <c r="A19" s="99"/>
      <c r="B19" s="87" t="s">
        <v>29</v>
      </c>
      <c r="C19" s="24">
        <f>IFERROR(VLOOKUP($C$3,EmployeeDataBase,12,FALSE)," ")</f>
        <v>51</v>
      </c>
      <c r="D19" s="16"/>
      <c r="E19" s="16"/>
      <c r="F19" s="18"/>
    </row>
    <row r="20" spans="1:7" ht="19.5" customHeight="1" x14ac:dyDescent="0.25">
      <c r="A20" s="99"/>
      <c r="B20" s="87"/>
      <c r="C20" s="16"/>
      <c r="D20" s="16"/>
      <c r="E20" s="16"/>
      <c r="F20" s="18"/>
    </row>
    <row r="21" spans="1:7" ht="19.5" customHeight="1" x14ac:dyDescent="0.25">
      <c r="A21" s="99"/>
      <c r="B21" s="87" t="s">
        <v>4</v>
      </c>
      <c r="C21" s="37" t="str">
        <f>IFERROR(VLOOKUP($C$3,EmployeeDataBase,13,FALSE)," ")</f>
        <v>G_SEBASTIANI@HOTMAIL.COM</v>
      </c>
      <c r="D21" s="16"/>
      <c r="E21" s="16"/>
      <c r="F21" s="18"/>
    </row>
    <row r="22" spans="1:7" ht="19.5" customHeight="1" x14ac:dyDescent="0.25">
      <c r="A22" s="99"/>
      <c r="B22" s="88" t="s">
        <v>30</v>
      </c>
      <c r="C22" s="27">
        <f>IFERROR(VLOOKUP($C$3,EmployeeDataBase,14,FALSE)," ")</f>
        <v>2323323023</v>
      </c>
      <c r="D22" s="25"/>
      <c r="E22" s="25"/>
      <c r="F22" s="26"/>
    </row>
    <row r="23" spans="1:7" ht="11.25" customHeight="1" x14ac:dyDescent="0.2">
      <c r="A23" s="99"/>
      <c r="B23" s="99"/>
      <c r="C23" s="99"/>
      <c r="D23" s="99"/>
      <c r="E23" s="99"/>
      <c r="F23" s="99"/>
      <c r="G23" s="99"/>
    </row>
    <row r="24" spans="1:7" x14ac:dyDescent="0.2">
      <c r="A24" s="99"/>
      <c r="B24" s="99"/>
      <c r="C24" s="99"/>
      <c r="D24" s="99"/>
      <c r="E24" s="99"/>
      <c r="F24" s="99"/>
      <c r="G24" s="99"/>
    </row>
  </sheetData>
  <mergeCells count="10">
    <mergeCell ref="B1:C1"/>
    <mergeCell ref="F1:F5"/>
    <mergeCell ref="C6:F6"/>
    <mergeCell ref="C7:F7"/>
    <mergeCell ref="C10:F10"/>
    <mergeCell ref="C11:F11"/>
    <mergeCell ref="C15:F15"/>
    <mergeCell ref="C16:F16"/>
    <mergeCell ref="C17:F17"/>
    <mergeCell ref="C18:F18"/>
  </mergeCells>
  <dataValidations xWindow="428" yWindow="277" count="2">
    <dataValidation allowBlank="1" showInputMessage="1" showErrorMessage="1" prompt="Select Employee Number" sqref="E3"/>
    <dataValidation type="list" allowBlank="1" showInputMessage="1" showErrorMessage="1" sqref="C2">
      <formula1>EmpID</formula1>
    </dataValidation>
  </dataValidations>
  <printOptions horizontalCentered="1" gridLines="1"/>
  <pageMargins left="0.7" right="0.7" top="0.75" bottom="0.75" header="0.3" footer="0.3"/>
  <pageSetup orientation="landscape" r:id="rId1"/>
  <drawing r:id="rId2"/>
  <legacyDrawing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6">
    <tabColor theme="2" tint="-0.499984740745262"/>
  </sheetPr>
  <dimension ref="B1:K23"/>
  <sheetViews>
    <sheetView zoomScaleNormal="100" workbookViewId="0">
      <selection activeCell="G11" sqref="G11"/>
    </sheetView>
  </sheetViews>
  <sheetFormatPr baseColWidth="10" defaultColWidth="9.140625" defaultRowHeight="12.75" x14ac:dyDescent="0.2"/>
  <cols>
    <col min="1" max="1" width="3.5703125" style="45" customWidth="1"/>
    <col min="2" max="3" width="25.42578125" style="45" customWidth="1"/>
    <col min="4" max="4" width="17" style="45" customWidth="1"/>
    <col min="5" max="5" width="20.28515625" style="45" customWidth="1"/>
    <col min="6" max="10" width="9.140625" style="45"/>
    <col min="11" max="11" width="13.140625" style="45" customWidth="1"/>
    <col min="12" max="16384" width="9.140625" style="45"/>
  </cols>
  <sheetData>
    <row r="1" spans="2:11" ht="21" customHeight="1" x14ac:dyDescent="0.2">
      <c r="B1" s="135" t="s">
        <v>16</v>
      </c>
      <c r="C1" s="136"/>
      <c r="E1" s="46"/>
      <c r="K1" s="47"/>
    </row>
    <row r="2" spans="2:11" ht="18" x14ac:dyDescent="0.25">
      <c r="B2" s="48"/>
      <c r="C2" s="49"/>
      <c r="E2" s="46"/>
      <c r="K2" s="47"/>
    </row>
    <row r="3" spans="2:11" ht="19.5" customHeight="1" x14ac:dyDescent="0.2">
      <c r="B3" s="50" t="s">
        <v>17</v>
      </c>
      <c r="C3" s="51">
        <v>104</v>
      </c>
      <c r="E3" s="46"/>
      <c r="K3" s="47"/>
    </row>
    <row r="4" spans="2:11" ht="21" customHeight="1" x14ac:dyDescent="0.2">
      <c r="B4" s="52"/>
      <c r="E4" s="46"/>
      <c r="K4" s="47"/>
    </row>
    <row r="5" spans="2:11" x14ac:dyDescent="0.2">
      <c r="B5" s="53" t="s">
        <v>18</v>
      </c>
      <c r="E5" s="54"/>
      <c r="K5" s="47"/>
    </row>
    <row r="6" spans="2:11" ht="19.5" customHeight="1" x14ac:dyDescent="0.25">
      <c r="B6" s="55" t="s">
        <v>19</v>
      </c>
      <c r="C6" s="129"/>
      <c r="D6" s="130"/>
      <c r="E6" s="131"/>
      <c r="K6" s="47"/>
    </row>
    <row r="7" spans="2:11" ht="19.5" customHeight="1" x14ac:dyDescent="0.25">
      <c r="B7" s="56" t="s">
        <v>20</v>
      </c>
      <c r="C7" s="126"/>
      <c r="D7" s="127"/>
      <c r="E7" s="128"/>
      <c r="K7" s="47"/>
    </row>
    <row r="8" spans="2:11" ht="19.5" customHeight="1" x14ac:dyDescent="0.25">
      <c r="B8" s="56"/>
      <c r="C8" s="57"/>
      <c r="D8" s="58" t="s">
        <v>33</v>
      </c>
      <c r="E8" s="59"/>
      <c r="K8" s="47"/>
    </row>
    <row r="9" spans="2:11" ht="19.5" customHeight="1" x14ac:dyDescent="0.25">
      <c r="B9" s="56" t="s">
        <v>21</v>
      </c>
      <c r="C9" s="92"/>
      <c r="D9" s="90" t="str">
        <f ca="1">IF(C3="","",(DATEDIF(C9,TODAY(),"Y")&amp;" años"))</f>
        <v>113 años</v>
      </c>
      <c r="E9" s="60"/>
      <c r="K9" s="47"/>
    </row>
    <row r="10" spans="2:11" ht="19.5" customHeight="1" x14ac:dyDescent="0.25">
      <c r="B10" s="56" t="s">
        <v>22</v>
      </c>
      <c r="C10" s="132"/>
      <c r="D10" s="133"/>
      <c r="E10" s="134"/>
      <c r="K10" s="47"/>
    </row>
    <row r="11" spans="2:11" ht="19.5" customHeight="1" x14ac:dyDescent="0.25">
      <c r="B11" s="56" t="s">
        <v>23</v>
      </c>
      <c r="C11" s="137"/>
      <c r="D11" s="137"/>
      <c r="E11" s="138"/>
      <c r="K11" s="47"/>
    </row>
    <row r="12" spans="2:11" ht="19.5" customHeight="1" x14ac:dyDescent="0.25">
      <c r="B12" s="56" t="s">
        <v>24</v>
      </c>
      <c r="C12" s="61"/>
      <c r="D12" s="62"/>
      <c r="E12" s="63"/>
      <c r="K12" s="47"/>
    </row>
    <row r="13" spans="2:11" ht="19.5" customHeight="1" x14ac:dyDescent="0.25">
      <c r="B13" s="56" t="s">
        <v>39</v>
      </c>
      <c r="C13" s="61"/>
      <c r="D13" s="64"/>
      <c r="E13" s="65"/>
    </row>
    <row r="14" spans="2:11" ht="19.5" customHeight="1" x14ac:dyDescent="0.25">
      <c r="B14" s="56"/>
      <c r="C14" s="57"/>
      <c r="D14" s="57"/>
      <c r="E14" s="59"/>
    </row>
    <row r="15" spans="2:11" ht="19.5" customHeight="1" x14ac:dyDescent="0.25">
      <c r="B15" s="56" t="s">
        <v>25</v>
      </c>
      <c r="C15" s="126"/>
      <c r="D15" s="127"/>
      <c r="E15" s="128"/>
    </row>
    <row r="16" spans="2:11" ht="19.5" customHeight="1" x14ac:dyDescent="0.25">
      <c r="B16" s="56" t="s">
        <v>26</v>
      </c>
      <c r="C16" s="139"/>
      <c r="D16" s="124"/>
      <c r="E16" s="125"/>
    </row>
    <row r="17" spans="2:11" ht="19.5" customHeight="1" x14ac:dyDescent="0.25">
      <c r="B17" s="56" t="s">
        <v>27</v>
      </c>
      <c r="C17" s="126"/>
      <c r="D17" s="127"/>
      <c r="E17" s="128"/>
      <c r="K17" s="93"/>
    </row>
    <row r="18" spans="2:11" ht="19.5" customHeight="1" x14ac:dyDescent="0.25">
      <c r="B18" s="56" t="s">
        <v>28</v>
      </c>
      <c r="C18" s="126"/>
      <c r="D18" s="127"/>
      <c r="E18" s="128"/>
    </row>
    <row r="19" spans="2:11" ht="19.5" customHeight="1" x14ac:dyDescent="0.25">
      <c r="B19" s="56" t="s">
        <v>29</v>
      </c>
      <c r="C19" s="66"/>
      <c r="D19" s="57"/>
      <c r="E19" s="59"/>
    </row>
    <row r="20" spans="2:11" ht="19.5" customHeight="1" x14ac:dyDescent="0.25">
      <c r="B20" s="56"/>
      <c r="C20" s="57"/>
      <c r="D20" s="57"/>
      <c r="E20" s="59"/>
    </row>
    <row r="21" spans="2:11" ht="19.5" customHeight="1" x14ac:dyDescent="0.25">
      <c r="B21" s="56" t="s">
        <v>4</v>
      </c>
      <c r="C21" s="140"/>
      <c r="D21" s="127"/>
      <c r="E21" s="59"/>
    </row>
    <row r="22" spans="2:11" ht="19.5" customHeight="1" x14ac:dyDescent="0.25">
      <c r="B22" s="56" t="s">
        <v>30</v>
      </c>
      <c r="C22" s="107"/>
      <c r="D22" s="57"/>
      <c r="E22" s="59"/>
    </row>
    <row r="23" spans="2:11" ht="9.75" customHeight="1" x14ac:dyDescent="0.25">
      <c r="B23" s="67"/>
      <c r="C23" s="68"/>
      <c r="D23" s="68"/>
      <c r="E23" s="69"/>
    </row>
  </sheetData>
  <dataConsolidate/>
  <mergeCells count="10">
    <mergeCell ref="C6:E6"/>
    <mergeCell ref="C7:E7"/>
    <mergeCell ref="C10:E10"/>
    <mergeCell ref="C11:E11"/>
    <mergeCell ref="B1:C1"/>
    <mergeCell ref="C16:E16"/>
    <mergeCell ref="C17:E17"/>
    <mergeCell ref="C18:E18"/>
    <mergeCell ref="C21:D21"/>
    <mergeCell ref="C15:E15"/>
  </mergeCells>
  <dataValidations count="2">
    <dataValidation type="list" allowBlank="1" showInputMessage="1" showErrorMessage="1" sqref="C12">
      <formula1>"Femenino, Masculino"</formula1>
    </dataValidation>
    <dataValidation type="list" allowBlank="1" showInputMessage="1" showErrorMessage="1" sqref="C13">
      <formula1>"Soltero, Casado, Viudo, Otro"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>
    <tabColor rgb="FF7030A0"/>
  </sheetPr>
  <dimension ref="A1:A111"/>
  <sheetViews>
    <sheetView showGridLines="0" topLeftCell="A101" zoomScale="90" zoomScaleNormal="90" workbookViewId="0">
      <selection activeCell="C103" sqref="C103"/>
    </sheetView>
  </sheetViews>
  <sheetFormatPr baseColWidth="10" defaultColWidth="27.28515625" defaultRowHeight="120.75" customHeight="1" x14ac:dyDescent="0.2"/>
  <cols>
    <col min="1" max="1" width="22.42578125" style="42" customWidth="1"/>
    <col min="2" max="26" width="9.140625" customWidth="1"/>
  </cols>
  <sheetData>
    <row r="1" ht="15.75" hidden="1" customHeight="1" x14ac:dyDescent="0.2"/>
    <row r="2" ht="15.75" hidden="1" customHeight="1" x14ac:dyDescent="0.2"/>
    <row r="3" ht="15.75" hidden="1" customHeight="1" x14ac:dyDescent="0.2"/>
    <row r="4" ht="15.75" hidden="1" customHeight="1" x14ac:dyDescent="0.2"/>
    <row r="5" ht="15.75" hidden="1" customHeight="1" x14ac:dyDescent="0.2"/>
    <row r="6" ht="15.75" hidden="1" customHeight="1" x14ac:dyDescent="0.2"/>
    <row r="7" ht="15.75" hidden="1" customHeight="1" x14ac:dyDescent="0.2"/>
    <row r="8" ht="15.75" hidden="1" customHeight="1" x14ac:dyDescent="0.2"/>
    <row r="9" ht="15.75" hidden="1" customHeight="1" x14ac:dyDescent="0.2"/>
    <row r="10" ht="15.75" hidden="1" customHeight="1" x14ac:dyDescent="0.2"/>
    <row r="11" ht="15.75" hidden="1" customHeight="1" x14ac:dyDescent="0.2"/>
    <row r="12" ht="15.75" hidden="1" customHeight="1" x14ac:dyDescent="0.2"/>
    <row r="13" ht="15.75" hidden="1" customHeight="1" x14ac:dyDescent="0.2"/>
    <row r="14" ht="15.75" hidden="1" customHeight="1" x14ac:dyDescent="0.2"/>
    <row r="15" ht="15.75" hidden="1" customHeight="1" x14ac:dyDescent="0.2"/>
    <row r="16" ht="15.75" hidden="1" customHeight="1" x14ac:dyDescent="0.2"/>
    <row r="17" ht="15.75" hidden="1" customHeight="1" x14ac:dyDescent="0.2"/>
    <row r="18" ht="15.75" hidden="1" customHeight="1" x14ac:dyDescent="0.2"/>
    <row r="19" ht="15.75" hidden="1" customHeight="1" x14ac:dyDescent="0.2"/>
    <row r="20" ht="15.75" hidden="1" customHeight="1" x14ac:dyDescent="0.2"/>
    <row r="21" ht="15.75" hidden="1" customHeight="1" x14ac:dyDescent="0.2"/>
    <row r="22" ht="15.75" hidden="1" customHeight="1" x14ac:dyDescent="0.2"/>
    <row r="23" ht="15.75" hidden="1" customHeight="1" x14ac:dyDescent="0.2"/>
    <row r="24" ht="15.75" hidden="1" customHeight="1" x14ac:dyDescent="0.2"/>
    <row r="25" ht="15.75" hidden="1" customHeight="1" x14ac:dyDescent="0.2"/>
    <row r="26" ht="15.75" hidden="1" customHeight="1" x14ac:dyDescent="0.2"/>
    <row r="27" ht="15.75" hidden="1" customHeight="1" x14ac:dyDescent="0.2"/>
    <row r="28" ht="15.75" hidden="1" customHeight="1" x14ac:dyDescent="0.2"/>
    <row r="29" ht="15.75" hidden="1" customHeight="1" x14ac:dyDescent="0.2"/>
    <row r="30" ht="15.75" hidden="1" customHeight="1" x14ac:dyDescent="0.2"/>
    <row r="31" ht="15.75" hidden="1" customHeight="1" x14ac:dyDescent="0.2"/>
    <row r="32" ht="15.75" hidden="1" customHeight="1" x14ac:dyDescent="0.2"/>
    <row r="33" ht="15.75" hidden="1" customHeight="1" x14ac:dyDescent="0.2"/>
    <row r="34" ht="15.75" hidden="1" customHeight="1" x14ac:dyDescent="0.2"/>
    <row r="35" ht="15.75" hidden="1" customHeight="1" x14ac:dyDescent="0.2"/>
    <row r="36" ht="15.75" hidden="1" customHeight="1" x14ac:dyDescent="0.2"/>
    <row r="37" ht="15.75" hidden="1" customHeight="1" x14ac:dyDescent="0.2"/>
    <row r="38" ht="15.75" hidden="1" customHeight="1" x14ac:dyDescent="0.2"/>
    <row r="39" ht="15.75" hidden="1" customHeight="1" x14ac:dyDescent="0.2"/>
    <row r="40" ht="15.75" hidden="1" customHeight="1" x14ac:dyDescent="0.2"/>
    <row r="41" ht="15.75" hidden="1" customHeight="1" x14ac:dyDescent="0.2"/>
    <row r="42" ht="15.75" hidden="1" customHeight="1" x14ac:dyDescent="0.2"/>
    <row r="43" ht="15.75" hidden="1" customHeight="1" x14ac:dyDescent="0.2"/>
    <row r="44" ht="15.75" hidden="1" customHeight="1" x14ac:dyDescent="0.2"/>
    <row r="45" ht="15.75" hidden="1" customHeight="1" x14ac:dyDescent="0.2"/>
    <row r="46" ht="15.75" hidden="1" customHeight="1" x14ac:dyDescent="0.2"/>
    <row r="47" ht="15.75" hidden="1" customHeight="1" x14ac:dyDescent="0.2"/>
    <row r="48" ht="15.75" hidden="1" customHeight="1" x14ac:dyDescent="0.2"/>
    <row r="49" ht="15.75" hidden="1" customHeight="1" x14ac:dyDescent="0.2"/>
    <row r="50" ht="15.75" hidden="1" customHeight="1" x14ac:dyDescent="0.2"/>
    <row r="51" ht="15.75" hidden="1" customHeight="1" x14ac:dyDescent="0.2"/>
    <row r="52" ht="15.75" hidden="1" customHeight="1" x14ac:dyDescent="0.2"/>
    <row r="53" ht="15.75" hidden="1" customHeight="1" x14ac:dyDescent="0.2"/>
    <row r="54" ht="15.75" hidden="1" customHeight="1" x14ac:dyDescent="0.2"/>
    <row r="55" ht="15.75" hidden="1" customHeight="1" x14ac:dyDescent="0.2"/>
    <row r="56" ht="15.75" hidden="1" customHeight="1" x14ac:dyDescent="0.2"/>
    <row r="57" ht="15.75" hidden="1" customHeight="1" x14ac:dyDescent="0.2"/>
    <row r="58" ht="15.75" hidden="1" customHeight="1" x14ac:dyDescent="0.2"/>
    <row r="59" ht="15.75" hidden="1" customHeight="1" x14ac:dyDescent="0.2"/>
    <row r="60" ht="15.75" hidden="1" customHeight="1" x14ac:dyDescent="0.2"/>
    <row r="61" ht="15.75" hidden="1" customHeight="1" x14ac:dyDescent="0.2"/>
    <row r="62" ht="15.75" hidden="1" customHeight="1" x14ac:dyDescent="0.2"/>
    <row r="63" ht="15.75" hidden="1" customHeight="1" x14ac:dyDescent="0.2"/>
    <row r="64" ht="15.75" hidden="1" customHeight="1" x14ac:dyDescent="0.2"/>
    <row r="65" ht="15.75" hidden="1" customHeight="1" x14ac:dyDescent="0.2"/>
    <row r="66" ht="15.75" hidden="1" customHeight="1" x14ac:dyDescent="0.2"/>
    <row r="67" ht="15.75" hidden="1" customHeight="1" x14ac:dyDescent="0.2"/>
    <row r="68" ht="15.75" hidden="1" customHeight="1" x14ac:dyDescent="0.2"/>
    <row r="69" ht="15.75" hidden="1" customHeight="1" x14ac:dyDescent="0.2"/>
    <row r="70" ht="15.75" hidden="1" customHeight="1" x14ac:dyDescent="0.2"/>
    <row r="71" ht="15.75" hidden="1" customHeight="1" x14ac:dyDescent="0.2"/>
    <row r="72" ht="15.75" hidden="1" customHeight="1" x14ac:dyDescent="0.2"/>
    <row r="73" ht="15.75" hidden="1" customHeight="1" x14ac:dyDescent="0.2"/>
    <row r="74" ht="15.75" hidden="1" customHeight="1" x14ac:dyDescent="0.2"/>
    <row r="75" ht="15.75" hidden="1" customHeight="1" x14ac:dyDescent="0.2"/>
    <row r="76" ht="15.75" hidden="1" customHeight="1" x14ac:dyDescent="0.2"/>
    <row r="77" ht="15.75" hidden="1" customHeight="1" x14ac:dyDescent="0.2"/>
    <row r="78" ht="15.75" hidden="1" customHeight="1" x14ac:dyDescent="0.2"/>
    <row r="79" ht="15.75" hidden="1" customHeight="1" x14ac:dyDescent="0.2"/>
    <row r="80" ht="15.75" hidden="1" customHeight="1" x14ac:dyDescent="0.2"/>
    <row r="81" ht="15.75" hidden="1" customHeight="1" x14ac:dyDescent="0.2"/>
    <row r="82" ht="15.75" hidden="1" customHeight="1" x14ac:dyDescent="0.2"/>
    <row r="83" ht="15.75" hidden="1" customHeight="1" x14ac:dyDescent="0.2"/>
    <row r="84" ht="15.75" hidden="1" customHeight="1" x14ac:dyDescent="0.2"/>
    <row r="85" ht="15.75" hidden="1" customHeight="1" x14ac:dyDescent="0.2"/>
    <row r="86" ht="15.75" hidden="1" customHeight="1" x14ac:dyDescent="0.2"/>
    <row r="87" ht="15.75" hidden="1" customHeight="1" x14ac:dyDescent="0.2"/>
    <row r="88" ht="15.75" hidden="1" customHeight="1" x14ac:dyDescent="0.2"/>
    <row r="89" ht="15.75" hidden="1" customHeight="1" x14ac:dyDescent="0.2"/>
    <row r="90" ht="15.75" hidden="1" customHeight="1" x14ac:dyDescent="0.2"/>
    <row r="91" ht="15.75" hidden="1" customHeight="1" x14ac:dyDescent="0.2"/>
    <row r="92" ht="15.75" hidden="1" customHeight="1" x14ac:dyDescent="0.2"/>
    <row r="93" ht="15.75" hidden="1" customHeight="1" x14ac:dyDescent="0.2"/>
    <row r="94" ht="15.75" hidden="1" customHeight="1" x14ac:dyDescent="0.2"/>
    <row r="95" ht="15.75" hidden="1" customHeight="1" x14ac:dyDescent="0.2"/>
    <row r="96" ht="15.75" hidden="1" customHeight="1" x14ac:dyDescent="0.2"/>
    <row r="97" ht="15.75" hidden="1" customHeight="1" x14ac:dyDescent="0.2"/>
    <row r="98" ht="15.75" hidden="1" customHeight="1" x14ac:dyDescent="0.2"/>
    <row r="99" ht="15.75" hidden="1" customHeight="1" x14ac:dyDescent="0.2"/>
    <row r="111" ht="124.5" customHeight="1" x14ac:dyDescent="0.2"/>
  </sheetData>
  <pageMargins left="0.7" right="0.7" top="0.75" bottom="0.75" header="0.3" footer="0.3"/>
  <pageSetup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4</vt:i4>
      </vt:variant>
    </vt:vector>
  </HeadingPairs>
  <TitlesOfParts>
    <vt:vector size="9" baseType="lpstr">
      <vt:lpstr>Home</vt:lpstr>
      <vt:lpstr>DataBase Empleados</vt:lpstr>
      <vt:lpstr>ChequearRecord</vt:lpstr>
      <vt:lpstr>Insertar Record Empleado</vt:lpstr>
      <vt:lpstr>Fotos</vt:lpstr>
      <vt:lpstr>ChequearRecord!Área_de_impresión</vt:lpstr>
      <vt:lpstr>EmpDB</vt:lpstr>
      <vt:lpstr>EmpID</vt:lpstr>
      <vt:lpstr>EmployeeDataBase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USUARIO</cp:lastModifiedBy>
  <cp:lastPrinted>2011-06-12T02:44:44Z</cp:lastPrinted>
  <dcterms:created xsi:type="dcterms:W3CDTF">2003-01-02T17:25:32Z</dcterms:created>
  <dcterms:modified xsi:type="dcterms:W3CDTF">2013-05-14T18:58:37Z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-1775001849</vt:i4>
  </property>
  <property fmtid="{D5CDD505-2E9C-101B-9397-08002B2CF9AE}" pid="3" name="_EmailSubject">
    <vt:lpwstr>sheets</vt:lpwstr>
  </property>
  <property fmtid="{D5CDD505-2E9C-101B-9397-08002B2CF9AE}" pid="4" name="_AuthorEmail">
    <vt:lpwstr>adam.hanan@rcn.com</vt:lpwstr>
  </property>
  <property fmtid="{D5CDD505-2E9C-101B-9397-08002B2CF9AE}" pid="5" name="_AuthorEmailDisplayName">
    <vt:lpwstr>Adam Hanan</vt:lpwstr>
  </property>
  <property fmtid="{D5CDD505-2E9C-101B-9397-08002B2CF9AE}" pid="6" name="_ReviewingToolsShownOnce">
    <vt:lpwstr/>
  </property>
</Properties>
</file>